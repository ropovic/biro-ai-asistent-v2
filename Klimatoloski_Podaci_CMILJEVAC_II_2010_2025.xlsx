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ek 2010-2025" sheetId="1" state="visible" r:id="rId1"/>
    <sheet xmlns:r="http://schemas.openxmlformats.org/officeDocument/2006/relationships" name="2010" sheetId="2" state="visible" r:id="rId2"/>
    <sheet xmlns:r="http://schemas.openxmlformats.org/officeDocument/2006/relationships" name="2011" sheetId="3" state="visible" r:id="rId3"/>
    <sheet xmlns:r="http://schemas.openxmlformats.org/officeDocument/2006/relationships" name="2012" sheetId="4" state="visible" r:id="rId4"/>
    <sheet xmlns:r="http://schemas.openxmlformats.org/officeDocument/2006/relationships" name="2013" sheetId="5" state="visible" r:id="rId5"/>
    <sheet xmlns:r="http://schemas.openxmlformats.org/officeDocument/2006/relationships" name="2014" sheetId="6" state="visible" r:id="rId6"/>
    <sheet xmlns:r="http://schemas.openxmlformats.org/officeDocument/2006/relationships" name="2015" sheetId="7" state="visible" r:id="rId7"/>
    <sheet xmlns:r="http://schemas.openxmlformats.org/officeDocument/2006/relationships" name="2016" sheetId="8" state="visible" r:id="rId8"/>
    <sheet xmlns:r="http://schemas.openxmlformats.org/officeDocument/2006/relationships" name="2017" sheetId="9" state="visible" r:id="rId9"/>
    <sheet xmlns:r="http://schemas.openxmlformats.org/officeDocument/2006/relationships" name="2018" sheetId="10" state="visible" r:id="rId10"/>
    <sheet xmlns:r="http://schemas.openxmlformats.org/officeDocument/2006/relationships" name="2019" sheetId="11" state="visible" r:id="rId11"/>
    <sheet xmlns:r="http://schemas.openxmlformats.org/officeDocument/2006/relationships" name="2020" sheetId="12" state="visible" r:id="rId12"/>
    <sheet xmlns:r="http://schemas.openxmlformats.org/officeDocument/2006/relationships" name="2021" sheetId="13" state="visible" r:id="rId13"/>
    <sheet xmlns:r="http://schemas.openxmlformats.org/officeDocument/2006/relationships" name="2022" sheetId="14" state="visible" r:id="rId14"/>
    <sheet xmlns:r="http://schemas.openxmlformats.org/officeDocument/2006/relationships" name="2023" sheetId="15" state="visible" r:id="rId15"/>
    <sheet xmlns:r="http://schemas.openxmlformats.org/officeDocument/2006/relationships" name="2024" sheetId="16" state="visible" r:id="rId16"/>
    <sheet xmlns:r="http://schemas.openxmlformats.org/officeDocument/2006/relationships" name="2025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0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EAEAEA"/>
        <bgColor rgb="00EAEAEA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0" fillId="0" borderId="2" pivotButton="0" quotePrefix="0" xfId="0"/>
    <xf numFmtId="0" fontId="4" fillId="0" borderId="2" pivotButton="0" quotePrefix="0" xfId="0"/>
    <xf numFmtId="164" fontId="0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PERIOD 2010-2025. GODINA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>
        <f>AVERAGE('2010'!B6,'2011'!B6,'2012'!B6,'2013'!B6,'2014'!B6,'2015'!B6,'2016'!B6,'2017'!B6,'2018'!B6,'2019'!B6,'2020'!B6,'2021'!B6,'2022'!B6,'2023'!B6,'2024'!B6,'2025'!B6)</f>
        <v/>
      </c>
      <c r="C6" s="8">
        <f>AVERAGE('2010'!C6,'2011'!C6,'2012'!C6,'2013'!C6,'2014'!C6,'2015'!C6,'2016'!C6,'2017'!C6,'2018'!C6,'2019'!C6,'2020'!C6,'2021'!C6,'2022'!C6,'2023'!C6,'2024'!C6,'2025'!C6)</f>
        <v/>
      </c>
      <c r="D6" s="8">
        <f>AVERAGE('2010'!D6,'2011'!D6,'2012'!D6,'2013'!D6,'2014'!D6,'2015'!D6,'2016'!D6,'2017'!D6,'2018'!D6,'2019'!D6,'2020'!D6,'2021'!D6,'2022'!D6,'2023'!D6,'2024'!D6,'2025'!D6)</f>
        <v/>
      </c>
      <c r="E6" s="8">
        <f>AVERAGE('2010'!E6,'2011'!E6,'2012'!E6,'2013'!E6,'2014'!E6,'2015'!E6,'2016'!E6,'2017'!E6,'2018'!E6,'2019'!E6,'2020'!E6,'2021'!E6,'2022'!E6,'2023'!E6,'2024'!E6,'2025'!E6)</f>
        <v/>
      </c>
      <c r="F6" s="8">
        <f>AVERAGE('2010'!F6,'2011'!F6,'2012'!F6,'2013'!F6,'2014'!F6,'2015'!F6,'2016'!F6,'2017'!F6,'2018'!F6,'2019'!F6,'2020'!F6,'2021'!F6,'2022'!F6,'2023'!F6,'2024'!F6,'2025'!F6)</f>
        <v/>
      </c>
      <c r="G6" s="8">
        <f>AVERAGE('2010'!G6,'2011'!G6,'2012'!G6,'2013'!G6,'2014'!G6,'2015'!G6,'2016'!G6,'2017'!G6,'2018'!G6,'2019'!G6,'2020'!G6,'2021'!G6,'2022'!G6,'2023'!G6,'2024'!G6,'2025'!G6)</f>
        <v/>
      </c>
      <c r="H6" s="8">
        <f>AVERAGE('2010'!H6,'2011'!H6,'2012'!H6,'2013'!H6,'2014'!H6,'2015'!H6,'2016'!H6,'2017'!H6,'2018'!H6,'2019'!H6,'2020'!H6,'2021'!H6,'2022'!H6,'2023'!H6,'2024'!H6,'2025'!H6)</f>
        <v/>
      </c>
      <c r="I6" s="8">
        <f>AVERAGE('2010'!I6,'2011'!I6,'2012'!I6,'2013'!I6,'2014'!I6,'2015'!I6,'2016'!I6,'2017'!I6,'2018'!I6,'2019'!I6,'2020'!I6,'2021'!I6,'2022'!I6,'2023'!I6,'2024'!I6,'2025'!I6)</f>
        <v/>
      </c>
      <c r="J6" s="8">
        <f>AVERAGE('2010'!J6,'2011'!J6,'2012'!J6,'2013'!J6,'2014'!J6,'2015'!J6,'2016'!J6,'2017'!J6,'2018'!J6,'2019'!J6,'2020'!J6,'2021'!J6,'2022'!J6,'2023'!J6,'2024'!J6,'2025'!J6)</f>
        <v/>
      </c>
      <c r="K6" s="8">
        <f>AVERAGE('2010'!K6,'2011'!K6,'2012'!K6,'2013'!K6,'2014'!K6,'2015'!K6,'2016'!K6,'2017'!K6,'2018'!K6,'2019'!K6,'2020'!K6,'2021'!K6,'2022'!K6,'2023'!K6,'2024'!K6,'2025'!K6)</f>
        <v/>
      </c>
      <c r="L6" s="8">
        <f>AVERAGE('2010'!L6,'2011'!L6,'2012'!L6,'2013'!L6,'2014'!L6,'2015'!L6,'2016'!L6,'2017'!L6,'2018'!L6,'2019'!L6,'2020'!L6,'2021'!L6,'2022'!L6,'2023'!L6,'2024'!L6,'2025'!L6)</f>
        <v/>
      </c>
      <c r="M6" s="8">
        <f>AVERAGE('2010'!M6,'2011'!M6,'2012'!M6,'2013'!M6,'2014'!M6,'2015'!M6,'2016'!M6,'2017'!M6,'2018'!M6,'2019'!M6,'2020'!M6,'2021'!M6,'2022'!M6,'2023'!M6,'2024'!M6,'2025'!M6)</f>
        <v/>
      </c>
      <c r="N6" s="9">
        <f>AVERAGE(B6:M6)</f>
        <v/>
      </c>
    </row>
    <row r="7">
      <c r="A7" s="7" t="inlineStr">
        <is>
          <t>Srednja maksimalna</t>
        </is>
      </c>
      <c r="B7" s="8">
        <f>AVERAGE('2010'!B7,'2011'!B7,'2012'!B7,'2013'!B7,'2014'!B7,'2015'!B7,'2016'!B7,'2017'!B7,'2018'!B7,'2019'!B7,'2020'!B7,'2021'!B7,'2022'!B7,'2023'!B7,'2024'!B7,'2025'!B7)</f>
        <v/>
      </c>
      <c r="C7" s="8">
        <f>AVERAGE('2010'!C7,'2011'!C7,'2012'!C7,'2013'!C7,'2014'!C7,'2015'!C7,'2016'!C7,'2017'!C7,'2018'!C7,'2019'!C7,'2020'!C7,'2021'!C7,'2022'!C7,'2023'!C7,'2024'!C7,'2025'!C7)</f>
        <v/>
      </c>
      <c r="D7" s="8">
        <f>AVERAGE('2010'!D7,'2011'!D7,'2012'!D7,'2013'!D7,'2014'!D7,'2015'!D7,'2016'!D7,'2017'!D7,'2018'!D7,'2019'!D7,'2020'!D7,'2021'!D7,'2022'!D7,'2023'!D7,'2024'!D7,'2025'!D7)</f>
        <v/>
      </c>
      <c r="E7" s="8">
        <f>AVERAGE('2010'!E7,'2011'!E7,'2012'!E7,'2013'!E7,'2014'!E7,'2015'!E7,'2016'!E7,'2017'!E7,'2018'!E7,'2019'!E7,'2020'!E7,'2021'!E7,'2022'!E7,'2023'!E7,'2024'!E7,'2025'!E7)</f>
        <v/>
      </c>
      <c r="F7" s="8">
        <f>AVERAGE('2010'!F7,'2011'!F7,'2012'!F7,'2013'!F7,'2014'!F7,'2015'!F7,'2016'!F7,'2017'!F7,'2018'!F7,'2019'!F7,'2020'!F7,'2021'!F7,'2022'!F7,'2023'!F7,'2024'!F7,'2025'!F7)</f>
        <v/>
      </c>
      <c r="G7" s="8">
        <f>AVERAGE('2010'!G7,'2011'!G7,'2012'!G7,'2013'!G7,'2014'!G7,'2015'!G7,'2016'!G7,'2017'!G7,'2018'!G7,'2019'!G7,'2020'!G7,'2021'!G7,'2022'!G7,'2023'!G7,'2024'!G7,'2025'!G7)</f>
        <v/>
      </c>
      <c r="H7" s="8">
        <f>AVERAGE('2010'!H7,'2011'!H7,'2012'!H7,'2013'!H7,'2014'!H7,'2015'!H7,'2016'!H7,'2017'!H7,'2018'!H7,'2019'!H7,'2020'!H7,'2021'!H7,'2022'!H7,'2023'!H7,'2024'!H7,'2025'!H7)</f>
        <v/>
      </c>
      <c r="I7" s="8">
        <f>AVERAGE('2010'!I7,'2011'!I7,'2012'!I7,'2013'!I7,'2014'!I7,'2015'!I7,'2016'!I7,'2017'!I7,'2018'!I7,'2019'!I7,'2020'!I7,'2021'!I7,'2022'!I7,'2023'!I7,'2024'!I7,'2025'!I7)</f>
        <v/>
      </c>
      <c r="J7" s="8">
        <f>AVERAGE('2010'!J7,'2011'!J7,'2012'!J7,'2013'!J7,'2014'!J7,'2015'!J7,'2016'!J7,'2017'!J7,'2018'!J7,'2019'!J7,'2020'!J7,'2021'!J7,'2022'!J7,'2023'!J7,'2024'!J7,'2025'!J7)</f>
        <v/>
      </c>
      <c r="K7" s="8">
        <f>AVERAGE('2010'!K7,'2011'!K7,'2012'!K7,'2013'!K7,'2014'!K7,'2015'!K7,'2016'!K7,'2017'!K7,'2018'!K7,'2019'!K7,'2020'!K7,'2021'!K7,'2022'!K7,'2023'!K7,'2024'!K7,'2025'!K7)</f>
        <v/>
      </c>
      <c r="L7" s="8">
        <f>AVERAGE('2010'!L7,'2011'!L7,'2012'!L7,'2013'!L7,'2014'!L7,'2015'!L7,'2016'!L7,'2017'!L7,'2018'!L7,'2019'!L7,'2020'!L7,'2021'!L7,'2022'!L7,'2023'!L7,'2024'!L7,'2025'!L7)</f>
        <v/>
      </c>
      <c r="M7" s="8">
        <f>AVERAGE('2010'!M7,'2011'!M7,'2012'!M7,'2013'!M7,'2014'!M7,'2015'!M7,'2016'!M7,'2017'!M7,'2018'!M7,'2019'!M7,'2020'!M7,'2021'!M7,'2022'!M7,'2023'!M7,'2024'!M7,'2025'!M7)</f>
        <v/>
      </c>
      <c r="N7" s="9">
        <f>AVERAGE(B7:M7)</f>
        <v/>
      </c>
    </row>
    <row r="8">
      <c r="A8" s="7" t="inlineStr">
        <is>
          <t>Srednja minimalna</t>
        </is>
      </c>
      <c r="B8" s="8">
        <f>AVERAGE('2010'!B8,'2011'!B8,'2012'!B8,'2013'!B8,'2014'!B8,'2015'!B8,'2016'!B8,'2017'!B8,'2018'!B8,'2019'!B8,'2020'!B8,'2021'!B8,'2022'!B8,'2023'!B8,'2024'!B8,'2025'!B8)</f>
        <v/>
      </c>
      <c r="C8" s="8">
        <f>AVERAGE('2010'!C8,'2011'!C8,'2012'!C8,'2013'!C8,'2014'!C8,'2015'!C8,'2016'!C8,'2017'!C8,'2018'!C8,'2019'!C8,'2020'!C8,'2021'!C8,'2022'!C8,'2023'!C8,'2024'!C8,'2025'!C8)</f>
        <v/>
      </c>
      <c r="D8" s="8">
        <f>AVERAGE('2010'!D8,'2011'!D8,'2012'!D8,'2013'!D8,'2014'!D8,'2015'!D8,'2016'!D8,'2017'!D8,'2018'!D8,'2019'!D8,'2020'!D8,'2021'!D8,'2022'!D8,'2023'!D8,'2024'!D8,'2025'!D8)</f>
        <v/>
      </c>
      <c r="E8" s="8">
        <f>AVERAGE('2010'!E8,'2011'!E8,'2012'!E8,'2013'!E8,'2014'!E8,'2015'!E8,'2016'!E8,'2017'!E8,'2018'!E8,'2019'!E8,'2020'!E8,'2021'!E8,'2022'!E8,'2023'!E8,'2024'!E8,'2025'!E8)</f>
        <v/>
      </c>
      <c r="F8" s="8">
        <f>AVERAGE('2010'!F8,'2011'!F8,'2012'!F8,'2013'!F8,'2014'!F8,'2015'!F8,'2016'!F8,'2017'!F8,'2018'!F8,'2019'!F8,'2020'!F8,'2021'!F8,'2022'!F8,'2023'!F8,'2024'!F8,'2025'!F8)</f>
        <v/>
      </c>
      <c r="G8" s="8">
        <f>AVERAGE('2010'!G8,'2011'!G8,'2012'!G8,'2013'!G8,'2014'!G8,'2015'!G8,'2016'!G8,'2017'!G8,'2018'!G8,'2019'!G8,'2020'!G8,'2021'!G8,'2022'!G8,'2023'!G8,'2024'!G8,'2025'!G8)</f>
        <v/>
      </c>
      <c r="H8" s="8">
        <f>AVERAGE('2010'!H8,'2011'!H8,'2012'!H8,'2013'!H8,'2014'!H8,'2015'!H8,'2016'!H8,'2017'!H8,'2018'!H8,'2019'!H8,'2020'!H8,'2021'!H8,'2022'!H8,'2023'!H8,'2024'!H8,'2025'!H8)</f>
        <v/>
      </c>
      <c r="I8" s="8">
        <f>AVERAGE('2010'!I8,'2011'!I8,'2012'!I8,'2013'!I8,'2014'!I8,'2015'!I8,'2016'!I8,'2017'!I8,'2018'!I8,'2019'!I8,'2020'!I8,'2021'!I8,'2022'!I8,'2023'!I8,'2024'!I8,'2025'!I8)</f>
        <v/>
      </c>
      <c r="J8" s="8">
        <f>AVERAGE('2010'!J8,'2011'!J8,'2012'!J8,'2013'!J8,'2014'!J8,'2015'!J8,'2016'!J8,'2017'!J8,'2018'!J8,'2019'!J8,'2020'!J8,'2021'!J8,'2022'!J8,'2023'!J8,'2024'!J8,'2025'!J8)</f>
        <v/>
      </c>
      <c r="K8" s="8">
        <f>AVERAGE('2010'!K8,'2011'!K8,'2012'!K8,'2013'!K8,'2014'!K8,'2015'!K8,'2016'!K8,'2017'!K8,'2018'!K8,'2019'!K8,'2020'!K8,'2021'!K8,'2022'!K8,'2023'!K8,'2024'!K8,'2025'!K8)</f>
        <v/>
      </c>
      <c r="L8" s="8">
        <f>AVERAGE('2010'!L8,'2011'!L8,'2012'!L8,'2013'!L8,'2014'!L8,'2015'!L8,'2016'!L8,'2017'!L8,'2018'!L8,'2019'!L8,'2020'!L8,'2021'!L8,'2022'!L8,'2023'!L8,'2024'!L8,'2025'!L8)</f>
        <v/>
      </c>
      <c r="M8" s="8">
        <f>AVERAGE('2010'!M8,'2011'!M8,'2012'!M8,'2013'!M8,'2014'!M8,'2015'!M8,'2016'!M8,'2017'!M8,'2018'!M8,'2019'!M8,'2020'!M8,'2021'!M8,'2022'!M8,'2023'!M8,'2024'!M8,'2025'!M8)</f>
        <v/>
      </c>
      <c r="N8" s="9">
        <f>AVERAGE(B8:M8)</f>
        <v/>
      </c>
    </row>
    <row r="9">
      <c r="A9" s="7" t="inlineStr">
        <is>
          <t>Apsolutni maksimum</t>
        </is>
      </c>
      <c r="B9" s="8">
        <f>AVERAGE('2010'!B9,'2011'!B9,'2012'!B9,'2013'!B9,'2014'!B9,'2015'!B9,'2016'!B9,'2017'!B9,'2018'!B9,'2019'!B9,'2020'!B9,'2021'!B9,'2022'!B9,'2023'!B9,'2024'!B9,'2025'!B9)</f>
        <v/>
      </c>
      <c r="C9" s="8">
        <f>AVERAGE('2010'!C9,'2011'!C9,'2012'!C9,'2013'!C9,'2014'!C9,'2015'!C9,'2016'!C9,'2017'!C9,'2018'!C9,'2019'!C9,'2020'!C9,'2021'!C9,'2022'!C9,'2023'!C9,'2024'!C9,'2025'!C9)</f>
        <v/>
      </c>
      <c r="D9" s="8">
        <f>AVERAGE('2010'!D9,'2011'!D9,'2012'!D9,'2013'!D9,'2014'!D9,'2015'!D9,'2016'!D9,'2017'!D9,'2018'!D9,'2019'!D9,'2020'!D9,'2021'!D9,'2022'!D9,'2023'!D9,'2024'!D9,'2025'!D9)</f>
        <v/>
      </c>
      <c r="E9" s="8">
        <f>AVERAGE('2010'!E9,'2011'!E9,'2012'!E9,'2013'!E9,'2014'!E9,'2015'!E9,'2016'!E9,'2017'!E9,'2018'!E9,'2019'!E9,'2020'!E9,'2021'!E9,'2022'!E9,'2023'!E9,'2024'!E9,'2025'!E9)</f>
        <v/>
      </c>
      <c r="F9" s="8">
        <f>AVERAGE('2010'!F9,'2011'!F9,'2012'!F9,'2013'!F9,'2014'!F9,'2015'!F9,'2016'!F9,'2017'!F9,'2018'!F9,'2019'!F9,'2020'!F9,'2021'!F9,'2022'!F9,'2023'!F9,'2024'!F9,'2025'!F9)</f>
        <v/>
      </c>
      <c r="G9" s="8">
        <f>AVERAGE('2010'!G9,'2011'!G9,'2012'!G9,'2013'!G9,'2014'!G9,'2015'!G9,'2016'!G9,'2017'!G9,'2018'!G9,'2019'!G9,'2020'!G9,'2021'!G9,'2022'!G9,'2023'!G9,'2024'!G9,'2025'!G9)</f>
        <v/>
      </c>
      <c r="H9" s="8">
        <f>AVERAGE('2010'!H9,'2011'!H9,'2012'!H9,'2013'!H9,'2014'!H9,'2015'!H9,'2016'!H9,'2017'!H9,'2018'!H9,'2019'!H9,'2020'!H9,'2021'!H9,'2022'!H9,'2023'!H9,'2024'!H9,'2025'!H9)</f>
        <v/>
      </c>
      <c r="I9" s="8">
        <f>AVERAGE('2010'!I9,'2011'!I9,'2012'!I9,'2013'!I9,'2014'!I9,'2015'!I9,'2016'!I9,'2017'!I9,'2018'!I9,'2019'!I9,'2020'!I9,'2021'!I9,'2022'!I9,'2023'!I9,'2024'!I9,'2025'!I9)</f>
        <v/>
      </c>
      <c r="J9" s="8">
        <f>AVERAGE('2010'!J9,'2011'!J9,'2012'!J9,'2013'!J9,'2014'!J9,'2015'!J9,'2016'!J9,'2017'!J9,'2018'!J9,'2019'!J9,'2020'!J9,'2021'!J9,'2022'!J9,'2023'!J9,'2024'!J9,'2025'!J9)</f>
        <v/>
      </c>
      <c r="K9" s="8">
        <f>AVERAGE('2010'!K9,'2011'!K9,'2012'!K9,'2013'!K9,'2014'!K9,'2015'!K9,'2016'!K9,'2017'!K9,'2018'!K9,'2019'!K9,'2020'!K9,'2021'!K9,'2022'!K9,'2023'!K9,'2024'!K9,'2025'!K9)</f>
        <v/>
      </c>
      <c r="L9" s="8">
        <f>AVERAGE('2010'!L9,'2011'!L9,'2012'!L9,'2013'!L9,'2014'!L9,'2015'!L9,'2016'!L9,'2017'!L9,'2018'!L9,'2019'!L9,'2020'!L9,'2021'!L9,'2022'!L9,'2023'!L9,'2024'!L9,'2025'!L9)</f>
        <v/>
      </c>
      <c r="M9" s="8">
        <f>AVERAGE('2010'!M9,'2011'!M9,'2012'!M9,'2013'!M9,'2014'!M9,'2015'!M9,'2016'!M9,'2017'!M9,'2018'!M9,'2019'!M9,'2020'!M9,'2021'!M9,'2022'!M9,'2023'!M9,'2024'!M9,'2025'!M9)</f>
        <v/>
      </c>
      <c r="N9" s="9">
        <f>MAX(B9:M9)</f>
        <v/>
      </c>
    </row>
    <row r="10">
      <c r="A10" s="7" t="inlineStr">
        <is>
          <t>Apsolutni minimum</t>
        </is>
      </c>
      <c r="B10" s="8">
        <f>AVERAGE('2010'!B10,'2011'!B10,'2012'!B10,'2013'!B10,'2014'!B10,'2015'!B10,'2016'!B10,'2017'!B10,'2018'!B10,'2019'!B10,'2020'!B10,'2021'!B10,'2022'!B10,'2023'!B10,'2024'!B10,'2025'!B10)</f>
        <v/>
      </c>
      <c r="C10" s="8">
        <f>AVERAGE('2010'!C10,'2011'!C10,'2012'!C10,'2013'!C10,'2014'!C10,'2015'!C10,'2016'!C10,'2017'!C10,'2018'!C10,'2019'!C10,'2020'!C10,'2021'!C10,'2022'!C10,'2023'!C10,'2024'!C10,'2025'!C10)</f>
        <v/>
      </c>
      <c r="D10" s="8">
        <f>AVERAGE('2010'!D10,'2011'!D10,'2012'!D10,'2013'!D10,'2014'!D10,'2015'!D10,'2016'!D10,'2017'!D10,'2018'!D10,'2019'!D10,'2020'!D10,'2021'!D10,'2022'!D10,'2023'!D10,'2024'!D10,'2025'!D10)</f>
        <v/>
      </c>
      <c r="E10" s="8">
        <f>AVERAGE('2010'!E10,'2011'!E10,'2012'!E10,'2013'!E10,'2014'!E10,'2015'!E10,'2016'!E10,'2017'!E10,'2018'!E10,'2019'!E10,'2020'!E10,'2021'!E10,'2022'!E10,'2023'!E10,'2024'!E10,'2025'!E10)</f>
        <v/>
      </c>
      <c r="F10" s="8">
        <f>AVERAGE('2010'!F10,'2011'!F10,'2012'!F10,'2013'!F10,'2014'!F10,'2015'!F10,'2016'!F10,'2017'!F10,'2018'!F10,'2019'!F10,'2020'!F10,'2021'!F10,'2022'!F10,'2023'!F10,'2024'!F10,'2025'!F10)</f>
        <v/>
      </c>
      <c r="G10" s="8">
        <f>AVERAGE('2010'!G10,'2011'!G10,'2012'!G10,'2013'!G10,'2014'!G10,'2015'!G10,'2016'!G10,'2017'!G10,'2018'!G10,'2019'!G10,'2020'!G10,'2021'!G10,'2022'!G10,'2023'!G10,'2024'!G10,'2025'!G10)</f>
        <v/>
      </c>
      <c r="H10" s="8">
        <f>AVERAGE('2010'!H10,'2011'!H10,'2012'!H10,'2013'!H10,'2014'!H10,'2015'!H10,'2016'!H10,'2017'!H10,'2018'!H10,'2019'!H10,'2020'!H10,'2021'!H10,'2022'!H10,'2023'!H10,'2024'!H10,'2025'!H10)</f>
        <v/>
      </c>
      <c r="I10" s="8">
        <f>AVERAGE('2010'!I10,'2011'!I10,'2012'!I10,'2013'!I10,'2014'!I10,'2015'!I10,'2016'!I10,'2017'!I10,'2018'!I10,'2019'!I10,'2020'!I10,'2021'!I10,'2022'!I10,'2023'!I10,'2024'!I10,'2025'!I10)</f>
        <v/>
      </c>
      <c r="J10" s="8">
        <f>AVERAGE('2010'!J10,'2011'!J10,'2012'!J10,'2013'!J10,'2014'!J10,'2015'!J10,'2016'!J10,'2017'!J10,'2018'!J10,'2019'!J10,'2020'!J10,'2021'!J10,'2022'!J10,'2023'!J10,'2024'!J10,'2025'!J10)</f>
        <v/>
      </c>
      <c r="K10" s="8">
        <f>AVERAGE('2010'!K10,'2011'!K10,'2012'!K10,'2013'!K10,'2014'!K10,'2015'!K10,'2016'!K10,'2017'!K10,'2018'!K10,'2019'!K10,'2020'!K10,'2021'!K10,'2022'!K10,'2023'!K10,'2024'!K10,'2025'!K10)</f>
        <v/>
      </c>
      <c r="L10" s="8">
        <f>AVERAGE('2010'!L10,'2011'!L10,'2012'!L10,'2013'!L10,'2014'!L10,'2015'!L10,'2016'!L10,'2017'!L10,'2018'!L10,'2019'!L10,'2020'!L10,'2021'!L10,'2022'!L10,'2023'!L10,'2024'!L10,'2025'!L10)</f>
        <v/>
      </c>
      <c r="M10" s="8">
        <f>AVERAGE('2010'!M10,'2011'!M10,'2012'!M10,'2013'!M10,'2014'!M10,'2015'!M10,'2016'!M10,'2017'!M10,'2018'!M10,'2019'!M10,'2020'!M10,'2021'!M10,'2022'!M10,'2023'!M10,'2024'!M10,'2025'!M10)</f>
        <v/>
      </c>
      <c r="N10" s="9">
        <f>MIN(B10:M10)</f>
        <v/>
      </c>
    </row>
    <row r="11">
      <c r="A11" s="7" t="inlineStr">
        <is>
          <t>Sr. br. mraznih dana</t>
        </is>
      </c>
      <c r="B11" s="8">
        <f>AVERAGE('2010'!B11,'2011'!B11,'2012'!B11,'2013'!B11,'2014'!B11,'2015'!B11,'2016'!B11,'2017'!B11,'2018'!B11,'2019'!B11,'2020'!B11,'2021'!B11,'2022'!B11,'2023'!B11,'2024'!B11,'2025'!B11)</f>
        <v/>
      </c>
      <c r="C11" s="8">
        <f>AVERAGE('2010'!C11,'2011'!C11,'2012'!C11,'2013'!C11,'2014'!C11,'2015'!C11,'2016'!C11,'2017'!C11,'2018'!C11,'2019'!C11,'2020'!C11,'2021'!C11,'2022'!C11,'2023'!C11,'2024'!C11,'2025'!C11)</f>
        <v/>
      </c>
      <c r="D11" s="8">
        <f>AVERAGE('2010'!D11,'2011'!D11,'2012'!D11,'2013'!D11,'2014'!D11,'2015'!D11,'2016'!D11,'2017'!D11,'2018'!D11,'2019'!D11,'2020'!D11,'2021'!D11,'2022'!D11,'2023'!D11,'2024'!D11,'2025'!D11)</f>
        <v/>
      </c>
      <c r="E11" s="8">
        <f>AVERAGE('2010'!E11,'2011'!E11,'2012'!E11,'2013'!E11,'2014'!E11,'2015'!E11,'2016'!E11,'2017'!E11,'2018'!E11,'2019'!E11,'2020'!E11,'2021'!E11,'2022'!E11,'2023'!E11,'2024'!E11,'2025'!E11)</f>
        <v/>
      </c>
      <c r="F11" s="8">
        <f>AVERAGE('2010'!F11,'2011'!F11,'2012'!F11,'2013'!F11,'2014'!F11,'2015'!F11,'2016'!F11,'2017'!F11,'2018'!F11,'2019'!F11,'2020'!F11,'2021'!F11,'2022'!F11,'2023'!F11,'2024'!F11,'2025'!F11)</f>
        <v/>
      </c>
      <c r="G11" s="8">
        <f>AVERAGE('2010'!G11,'2011'!G11,'2012'!G11,'2013'!G11,'2014'!G11,'2015'!G11,'2016'!G11,'2017'!G11,'2018'!G11,'2019'!G11,'2020'!G11,'2021'!G11,'2022'!G11,'2023'!G11,'2024'!G11,'2025'!G11)</f>
        <v/>
      </c>
      <c r="H11" s="8">
        <f>AVERAGE('2010'!H11,'2011'!H11,'2012'!H11,'2013'!H11,'2014'!H11,'2015'!H11,'2016'!H11,'2017'!H11,'2018'!H11,'2019'!H11,'2020'!H11,'2021'!H11,'2022'!H11,'2023'!H11,'2024'!H11,'2025'!H11)</f>
        <v/>
      </c>
      <c r="I11" s="8">
        <f>AVERAGE('2010'!I11,'2011'!I11,'2012'!I11,'2013'!I11,'2014'!I11,'2015'!I11,'2016'!I11,'2017'!I11,'2018'!I11,'2019'!I11,'2020'!I11,'2021'!I11,'2022'!I11,'2023'!I11,'2024'!I11,'2025'!I11)</f>
        <v/>
      </c>
      <c r="J11" s="8">
        <f>AVERAGE('2010'!J11,'2011'!J11,'2012'!J11,'2013'!J11,'2014'!J11,'2015'!J11,'2016'!J11,'2017'!J11,'2018'!J11,'2019'!J11,'2020'!J11,'2021'!J11,'2022'!J11,'2023'!J11,'2024'!J11,'2025'!J11)</f>
        <v/>
      </c>
      <c r="K11" s="8">
        <f>AVERAGE('2010'!K11,'2011'!K11,'2012'!K11,'2013'!K11,'2014'!K11,'2015'!K11,'2016'!K11,'2017'!K11,'2018'!K11,'2019'!K11,'2020'!K11,'2021'!K11,'2022'!K11,'2023'!K11,'2024'!K11,'2025'!K11)</f>
        <v/>
      </c>
      <c r="L11" s="8">
        <f>AVERAGE('2010'!L11,'2011'!L11,'2012'!L11,'2013'!L11,'2014'!L11,'2015'!L11,'2016'!L11,'2017'!L11,'2018'!L11,'2019'!L11,'2020'!L11,'2021'!L11,'2022'!L11,'2023'!L11,'2024'!L11,'2025'!L11)</f>
        <v/>
      </c>
      <c r="M11" s="8">
        <f>AVERAGE('2010'!M11,'2011'!M11,'2012'!M11,'2013'!M11,'2014'!M11,'2015'!M11,'2016'!M11,'2017'!M11,'2018'!M11,'2019'!M11,'2020'!M11,'2021'!M11,'2022'!M11,'2023'!M11,'2024'!M11,'2025'!M11)</f>
        <v/>
      </c>
      <c r="N11" s="9">
        <f>SUM(B11:M11)</f>
        <v/>
      </c>
    </row>
    <row r="12">
      <c r="A12" s="7" t="inlineStr">
        <is>
          <t>Sr. br. tropskih dana</t>
        </is>
      </c>
      <c r="B12" s="8">
        <f>AVERAGE('2010'!B12,'2011'!B12,'2012'!B12,'2013'!B12,'2014'!B12,'2015'!B12,'2016'!B12,'2017'!B12,'2018'!B12,'2019'!B12,'2020'!B12,'2021'!B12,'2022'!B12,'2023'!B12,'2024'!B12,'2025'!B12)</f>
        <v/>
      </c>
      <c r="C12" s="8">
        <f>AVERAGE('2010'!C12,'2011'!C12,'2012'!C12,'2013'!C12,'2014'!C12,'2015'!C12,'2016'!C12,'2017'!C12,'2018'!C12,'2019'!C12,'2020'!C12,'2021'!C12,'2022'!C12,'2023'!C12,'2024'!C12,'2025'!C12)</f>
        <v/>
      </c>
      <c r="D12" s="8">
        <f>AVERAGE('2010'!D12,'2011'!D12,'2012'!D12,'2013'!D12,'2014'!D12,'2015'!D12,'2016'!D12,'2017'!D12,'2018'!D12,'2019'!D12,'2020'!D12,'2021'!D12,'2022'!D12,'2023'!D12,'2024'!D12,'2025'!D12)</f>
        <v/>
      </c>
      <c r="E12" s="8">
        <f>AVERAGE('2010'!E12,'2011'!E12,'2012'!E12,'2013'!E12,'2014'!E12,'2015'!E12,'2016'!E12,'2017'!E12,'2018'!E12,'2019'!E12,'2020'!E12,'2021'!E12,'2022'!E12,'2023'!E12,'2024'!E12,'2025'!E12)</f>
        <v/>
      </c>
      <c r="F12" s="8">
        <f>AVERAGE('2010'!F12,'2011'!F12,'2012'!F12,'2013'!F12,'2014'!F12,'2015'!F12,'2016'!F12,'2017'!F12,'2018'!F12,'2019'!F12,'2020'!F12,'2021'!F12,'2022'!F12,'2023'!F12,'2024'!F12,'2025'!F12)</f>
        <v/>
      </c>
      <c r="G12" s="8">
        <f>AVERAGE('2010'!G12,'2011'!G12,'2012'!G12,'2013'!G12,'2014'!G12,'2015'!G12,'2016'!G12,'2017'!G12,'2018'!G12,'2019'!G12,'2020'!G12,'2021'!G12,'2022'!G12,'2023'!G12,'2024'!G12,'2025'!G12)</f>
        <v/>
      </c>
      <c r="H12" s="8">
        <f>AVERAGE('2010'!H12,'2011'!H12,'2012'!H12,'2013'!H12,'2014'!H12,'2015'!H12,'2016'!H12,'2017'!H12,'2018'!H12,'2019'!H12,'2020'!H12,'2021'!H12,'2022'!H12,'2023'!H12,'2024'!H12,'2025'!H12)</f>
        <v/>
      </c>
      <c r="I12" s="8">
        <f>AVERAGE('2010'!I12,'2011'!I12,'2012'!I12,'2013'!I12,'2014'!I12,'2015'!I12,'2016'!I12,'2017'!I12,'2018'!I12,'2019'!I12,'2020'!I12,'2021'!I12,'2022'!I12,'2023'!I12,'2024'!I12,'2025'!I12)</f>
        <v/>
      </c>
      <c r="J12" s="8">
        <f>AVERAGE('2010'!J12,'2011'!J12,'2012'!J12,'2013'!J12,'2014'!J12,'2015'!J12,'2016'!J12,'2017'!J12,'2018'!J12,'2019'!J12,'2020'!J12,'2021'!J12,'2022'!J12,'2023'!J12,'2024'!J12,'2025'!J12)</f>
        <v/>
      </c>
      <c r="K12" s="8">
        <f>AVERAGE('2010'!K12,'2011'!K12,'2012'!K12,'2013'!K12,'2014'!K12,'2015'!K12,'2016'!K12,'2017'!K12,'2018'!K12,'2019'!K12,'2020'!K12,'2021'!K12,'2022'!K12,'2023'!K12,'2024'!K12,'2025'!K12)</f>
        <v/>
      </c>
      <c r="L12" s="8">
        <f>AVERAGE('2010'!L12,'2011'!L12,'2012'!L12,'2013'!L12,'2014'!L12,'2015'!L12,'2016'!L12,'2017'!L12,'2018'!L12,'2019'!L12,'2020'!L12,'2021'!L12,'2022'!L12,'2023'!L12,'2024'!L12,'2025'!L12)</f>
        <v/>
      </c>
      <c r="M12" s="8">
        <f>AVERAGE('2010'!M12,'2011'!M12,'2012'!M12,'2013'!M12,'2014'!M12,'2015'!M12,'2016'!M12,'2017'!M12,'2018'!M12,'2019'!M12,'2020'!M12,'2021'!M12,'2022'!M12,'2023'!M12,'2024'!M12,'2025'!M12)</f>
        <v/>
      </c>
      <c r="N12" s="9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>
        <f>AVERAGE('2010'!B14,'2011'!B14,'2012'!B14,'2013'!B14,'2014'!B14,'2015'!B14,'2016'!B14,'2017'!B14,'2018'!B14,'2019'!B14,'2020'!B14,'2021'!B14,'2022'!B14,'2023'!B14,'2024'!B14,'2025'!B14)</f>
        <v/>
      </c>
      <c r="C14" s="8">
        <f>AVERAGE('2010'!C14,'2011'!C14,'2012'!C14,'2013'!C14,'2014'!C14,'2015'!C14,'2016'!C14,'2017'!C14,'2018'!C14,'2019'!C14,'2020'!C14,'2021'!C14,'2022'!C14,'2023'!C14,'2024'!C14,'2025'!C14)</f>
        <v/>
      </c>
      <c r="D14" s="8">
        <f>AVERAGE('2010'!D14,'2011'!D14,'2012'!D14,'2013'!D14,'2014'!D14,'2015'!D14,'2016'!D14,'2017'!D14,'2018'!D14,'2019'!D14,'2020'!D14,'2021'!D14,'2022'!D14,'2023'!D14,'2024'!D14,'2025'!D14)</f>
        <v/>
      </c>
      <c r="E14" s="8">
        <f>AVERAGE('2010'!E14,'2011'!E14,'2012'!E14,'2013'!E14,'2014'!E14,'2015'!E14,'2016'!E14,'2017'!E14,'2018'!E14,'2019'!E14,'2020'!E14,'2021'!E14,'2022'!E14,'2023'!E14,'2024'!E14,'2025'!E14)</f>
        <v/>
      </c>
      <c r="F14" s="8">
        <f>AVERAGE('2010'!F14,'2011'!F14,'2012'!F14,'2013'!F14,'2014'!F14,'2015'!F14,'2016'!F14,'2017'!F14,'2018'!F14,'2019'!F14,'2020'!F14,'2021'!F14,'2022'!F14,'2023'!F14,'2024'!F14,'2025'!F14)</f>
        <v/>
      </c>
      <c r="G14" s="8">
        <f>AVERAGE('2010'!G14,'2011'!G14,'2012'!G14,'2013'!G14,'2014'!G14,'2015'!G14,'2016'!G14,'2017'!G14,'2018'!G14,'2019'!G14,'2020'!G14,'2021'!G14,'2022'!G14,'2023'!G14,'2024'!G14,'2025'!G14)</f>
        <v/>
      </c>
      <c r="H14" s="8">
        <f>AVERAGE('2010'!H14,'2011'!H14,'2012'!H14,'2013'!H14,'2014'!H14,'2015'!H14,'2016'!H14,'2017'!H14,'2018'!H14,'2019'!H14,'2020'!H14,'2021'!H14,'2022'!H14,'2023'!H14,'2024'!H14,'2025'!H14)</f>
        <v/>
      </c>
      <c r="I14" s="8">
        <f>AVERAGE('2010'!I14,'2011'!I14,'2012'!I14,'2013'!I14,'2014'!I14,'2015'!I14,'2016'!I14,'2017'!I14,'2018'!I14,'2019'!I14,'2020'!I14,'2021'!I14,'2022'!I14,'2023'!I14,'2024'!I14,'2025'!I14)</f>
        <v/>
      </c>
      <c r="J14" s="8">
        <f>AVERAGE('2010'!J14,'2011'!J14,'2012'!J14,'2013'!J14,'2014'!J14,'2015'!J14,'2016'!J14,'2017'!J14,'2018'!J14,'2019'!J14,'2020'!J14,'2021'!J14,'2022'!J14,'2023'!J14,'2024'!J14,'2025'!J14)</f>
        <v/>
      </c>
      <c r="K14" s="8">
        <f>AVERAGE('2010'!K14,'2011'!K14,'2012'!K14,'2013'!K14,'2014'!K14,'2015'!K14,'2016'!K14,'2017'!K14,'2018'!K14,'2019'!K14,'2020'!K14,'2021'!K14,'2022'!K14,'2023'!K14,'2024'!K14,'2025'!K14)</f>
        <v/>
      </c>
      <c r="L14" s="8">
        <f>AVERAGE('2010'!L14,'2011'!L14,'2012'!L14,'2013'!L14,'2014'!L14,'2015'!L14,'2016'!L14,'2017'!L14,'2018'!L14,'2019'!L14,'2020'!L14,'2021'!L14,'2022'!L14,'2023'!L14,'2024'!L14,'2025'!L14)</f>
        <v/>
      </c>
      <c r="M14" s="8">
        <f>AVERAGE('2010'!M14,'2011'!M14,'2012'!M14,'2013'!M14,'2014'!M14,'2015'!M14,'2016'!M14,'2017'!M14,'2018'!M14,'2019'!M14,'2020'!M14,'2021'!M14,'2022'!M14,'2023'!M14,'2024'!M14,'2025'!M14)</f>
        <v/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>
        <f>AVERAGE('2010'!B16,'2011'!B16,'2012'!B16,'2013'!B16,'2014'!B16,'2015'!B16,'2016'!B16,'2017'!B16,'2018'!B16,'2019'!B16,'2020'!B16,'2021'!B16,'2022'!B16,'2023'!B16,'2024'!B16,'2025'!B16)</f>
        <v/>
      </c>
      <c r="C16" s="8">
        <f>AVERAGE('2010'!C16,'2011'!C16,'2012'!C16,'2013'!C16,'2014'!C16,'2015'!C16,'2016'!C16,'2017'!C16,'2018'!C16,'2019'!C16,'2020'!C16,'2021'!C16,'2022'!C16,'2023'!C16,'2024'!C16,'2025'!C16)</f>
        <v/>
      </c>
      <c r="D16" s="8">
        <f>AVERAGE('2010'!D16,'2011'!D16,'2012'!D16,'2013'!D16,'2014'!D16,'2015'!D16,'2016'!D16,'2017'!D16,'2018'!D16,'2019'!D16,'2020'!D16,'2021'!D16,'2022'!D16,'2023'!D16,'2024'!D16,'2025'!D16)</f>
        <v/>
      </c>
      <c r="E16" s="8">
        <f>AVERAGE('2010'!E16,'2011'!E16,'2012'!E16,'2013'!E16,'2014'!E16,'2015'!E16,'2016'!E16,'2017'!E16,'2018'!E16,'2019'!E16,'2020'!E16,'2021'!E16,'2022'!E16,'2023'!E16,'2024'!E16,'2025'!E16)</f>
        <v/>
      </c>
      <c r="F16" s="8">
        <f>AVERAGE('2010'!F16,'2011'!F16,'2012'!F16,'2013'!F16,'2014'!F16,'2015'!F16,'2016'!F16,'2017'!F16,'2018'!F16,'2019'!F16,'2020'!F16,'2021'!F16,'2022'!F16,'2023'!F16,'2024'!F16,'2025'!F16)</f>
        <v/>
      </c>
      <c r="G16" s="8">
        <f>AVERAGE('2010'!G16,'2011'!G16,'2012'!G16,'2013'!G16,'2014'!G16,'2015'!G16,'2016'!G16,'2017'!G16,'2018'!G16,'2019'!G16,'2020'!G16,'2021'!G16,'2022'!G16,'2023'!G16,'2024'!G16,'2025'!G16)</f>
        <v/>
      </c>
      <c r="H16" s="8">
        <f>AVERAGE('2010'!H16,'2011'!H16,'2012'!H16,'2013'!H16,'2014'!H16,'2015'!H16,'2016'!H16,'2017'!H16,'2018'!H16,'2019'!H16,'2020'!H16,'2021'!H16,'2022'!H16,'2023'!H16,'2024'!H16,'2025'!H16)</f>
        <v/>
      </c>
      <c r="I16" s="8">
        <f>AVERAGE('2010'!I16,'2011'!I16,'2012'!I16,'2013'!I16,'2014'!I16,'2015'!I16,'2016'!I16,'2017'!I16,'2018'!I16,'2019'!I16,'2020'!I16,'2021'!I16,'2022'!I16,'2023'!I16,'2024'!I16,'2025'!I16)</f>
        <v/>
      </c>
      <c r="J16" s="8">
        <f>AVERAGE('2010'!J16,'2011'!J16,'2012'!J16,'2013'!J16,'2014'!J16,'2015'!J16,'2016'!J16,'2017'!J16,'2018'!J16,'2019'!J16,'2020'!J16,'2021'!J16,'2022'!J16,'2023'!J16,'2024'!J16,'2025'!J16)</f>
        <v/>
      </c>
      <c r="K16" s="8">
        <f>AVERAGE('2010'!K16,'2011'!K16,'2012'!K16,'2013'!K16,'2014'!K16,'2015'!K16,'2016'!K16,'2017'!K16,'2018'!K16,'2019'!K16,'2020'!K16,'2021'!K16,'2022'!K16,'2023'!K16,'2024'!K16,'2025'!K16)</f>
        <v/>
      </c>
      <c r="L16" s="8">
        <f>AVERAGE('2010'!L16,'2011'!L16,'2012'!L16,'2013'!L16,'2014'!L16,'2015'!L16,'2016'!L16,'2017'!L16,'2018'!L16,'2019'!L16,'2020'!L16,'2021'!L16,'2022'!L16,'2023'!L16,'2024'!L16,'2025'!L16)</f>
        <v/>
      </c>
      <c r="M16" s="8">
        <f>AVERAGE('2010'!M16,'2011'!M16,'2012'!M16,'2013'!M16,'2014'!M16,'2015'!M16,'2016'!M16,'2017'!M16,'2018'!M16,'2019'!M16,'2020'!M16,'2021'!M16,'2022'!M16,'2023'!M16,'2024'!M16,'2025'!M16)</f>
        <v/>
      </c>
      <c r="N16" s="9">
        <f>SUM(B16:M16)</f>
        <v/>
      </c>
    </row>
    <row r="17">
      <c r="A17" s="7" t="inlineStr">
        <is>
          <t>Broj vedrih dana</t>
        </is>
      </c>
      <c r="B17" s="8">
        <f>AVERAGE('2010'!B17,'2011'!B17,'2012'!B17,'2013'!B17,'2014'!B17,'2015'!B17,'2016'!B17,'2017'!B17,'2018'!B17,'2019'!B17,'2020'!B17,'2021'!B17,'2022'!B17,'2023'!B17,'2024'!B17,'2025'!B17)</f>
        <v/>
      </c>
      <c r="C17" s="8">
        <f>AVERAGE('2010'!C17,'2011'!C17,'2012'!C17,'2013'!C17,'2014'!C17,'2015'!C17,'2016'!C17,'2017'!C17,'2018'!C17,'2019'!C17,'2020'!C17,'2021'!C17,'2022'!C17,'2023'!C17,'2024'!C17,'2025'!C17)</f>
        <v/>
      </c>
      <c r="D17" s="8">
        <f>AVERAGE('2010'!D17,'2011'!D17,'2012'!D17,'2013'!D17,'2014'!D17,'2015'!D17,'2016'!D17,'2017'!D17,'2018'!D17,'2019'!D17,'2020'!D17,'2021'!D17,'2022'!D17,'2023'!D17,'2024'!D17,'2025'!D17)</f>
        <v/>
      </c>
      <c r="E17" s="8">
        <f>AVERAGE('2010'!E17,'2011'!E17,'2012'!E17,'2013'!E17,'2014'!E17,'2015'!E17,'2016'!E17,'2017'!E17,'2018'!E17,'2019'!E17,'2020'!E17,'2021'!E17,'2022'!E17,'2023'!E17,'2024'!E17,'2025'!E17)</f>
        <v/>
      </c>
      <c r="F17" s="8">
        <f>AVERAGE('2010'!F17,'2011'!F17,'2012'!F17,'2013'!F17,'2014'!F17,'2015'!F17,'2016'!F17,'2017'!F17,'2018'!F17,'2019'!F17,'2020'!F17,'2021'!F17,'2022'!F17,'2023'!F17,'2024'!F17,'2025'!F17)</f>
        <v/>
      </c>
      <c r="G17" s="8">
        <f>AVERAGE('2010'!G17,'2011'!G17,'2012'!G17,'2013'!G17,'2014'!G17,'2015'!G17,'2016'!G17,'2017'!G17,'2018'!G17,'2019'!G17,'2020'!G17,'2021'!G17,'2022'!G17,'2023'!G17,'2024'!G17,'2025'!G17)</f>
        <v/>
      </c>
      <c r="H17" s="8">
        <f>AVERAGE('2010'!H17,'2011'!H17,'2012'!H17,'2013'!H17,'2014'!H17,'2015'!H17,'2016'!H17,'2017'!H17,'2018'!H17,'2019'!H17,'2020'!H17,'2021'!H17,'2022'!H17,'2023'!H17,'2024'!H17,'2025'!H17)</f>
        <v/>
      </c>
      <c r="I17" s="8">
        <f>AVERAGE('2010'!I17,'2011'!I17,'2012'!I17,'2013'!I17,'2014'!I17,'2015'!I17,'2016'!I17,'2017'!I17,'2018'!I17,'2019'!I17,'2020'!I17,'2021'!I17,'2022'!I17,'2023'!I17,'2024'!I17,'2025'!I17)</f>
        <v/>
      </c>
      <c r="J17" s="8">
        <f>AVERAGE('2010'!J17,'2011'!J17,'2012'!J17,'2013'!J17,'2014'!J17,'2015'!J17,'2016'!J17,'2017'!J17,'2018'!J17,'2019'!J17,'2020'!J17,'2021'!J17,'2022'!J17,'2023'!J17,'2024'!J17,'2025'!J17)</f>
        <v/>
      </c>
      <c r="K17" s="8">
        <f>AVERAGE('2010'!K17,'2011'!K17,'2012'!K17,'2013'!K17,'2014'!K17,'2015'!K17,'2016'!K17,'2017'!K17,'2018'!K17,'2019'!K17,'2020'!K17,'2021'!K17,'2022'!K17,'2023'!K17,'2024'!K17,'2025'!K17)</f>
        <v/>
      </c>
      <c r="L17" s="8">
        <f>AVERAGE('2010'!L17,'2011'!L17,'2012'!L17,'2013'!L17,'2014'!L17,'2015'!L17,'2016'!L17,'2017'!L17,'2018'!L17,'2019'!L17,'2020'!L17,'2021'!L17,'2022'!L17,'2023'!L17,'2024'!L17,'2025'!L17)</f>
        <v/>
      </c>
      <c r="M17" s="8">
        <f>AVERAGE('2010'!M17,'2011'!M17,'2012'!M17,'2013'!M17,'2014'!M17,'2015'!M17,'2016'!M17,'2017'!M17,'2018'!M17,'2019'!M17,'2020'!M17,'2021'!M17,'2022'!M17,'2023'!M17,'2024'!M17,'2025'!M17)</f>
        <v/>
      </c>
      <c r="N17" s="9">
        <f>SUM(B17:M17)</f>
        <v/>
      </c>
    </row>
    <row r="18">
      <c r="A18" s="7" t="inlineStr">
        <is>
          <t>Broj oblačnih dana</t>
        </is>
      </c>
      <c r="B18" s="8">
        <f>AVERAGE('2010'!B18,'2011'!B18,'2012'!B18,'2013'!B18,'2014'!B18,'2015'!B18,'2016'!B18,'2017'!B18,'2018'!B18,'2019'!B18,'2020'!B18,'2021'!B18,'2022'!B18,'2023'!B18,'2024'!B18,'2025'!B18)</f>
        <v/>
      </c>
      <c r="C18" s="8">
        <f>AVERAGE('2010'!C18,'2011'!C18,'2012'!C18,'2013'!C18,'2014'!C18,'2015'!C18,'2016'!C18,'2017'!C18,'2018'!C18,'2019'!C18,'2020'!C18,'2021'!C18,'2022'!C18,'2023'!C18,'2024'!C18,'2025'!C18)</f>
        <v/>
      </c>
      <c r="D18" s="8">
        <f>AVERAGE('2010'!D18,'2011'!D18,'2012'!D18,'2013'!D18,'2014'!D18,'2015'!D18,'2016'!D18,'2017'!D18,'2018'!D18,'2019'!D18,'2020'!D18,'2021'!D18,'2022'!D18,'2023'!D18,'2024'!D18,'2025'!D18)</f>
        <v/>
      </c>
      <c r="E18" s="8">
        <f>AVERAGE('2010'!E18,'2011'!E18,'2012'!E18,'2013'!E18,'2014'!E18,'2015'!E18,'2016'!E18,'2017'!E18,'2018'!E18,'2019'!E18,'2020'!E18,'2021'!E18,'2022'!E18,'2023'!E18,'2024'!E18,'2025'!E18)</f>
        <v/>
      </c>
      <c r="F18" s="8">
        <f>AVERAGE('2010'!F18,'2011'!F18,'2012'!F18,'2013'!F18,'2014'!F18,'2015'!F18,'2016'!F18,'2017'!F18,'2018'!F18,'2019'!F18,'2020'!F18,'2021'!F18,'2022'!F18,'2023'!F18,'2024'!F18,'2025'!F18)</f>
        <v/>
      </c>
      <c r="G18" s="8">
        <f>AVERAGE('2010'!G18,'2011'!G18,'2012'!G18,'2013'!G18,'2014'!G18,'2015'!G18,'2016'!G18,'2017'!G18,'2018'!G18,'2019'!G18,'2020'!G18,'2021'!G18,'2022'!G18,'2023'!G18,'2024'!G18,'2025'!G18)</f>
        <v/>
      </c>
      <c r="H18" s="8">
        <f>AVERAGE('2010'!H18,'2011'!H18,'2012'!H18,'2013'!H18,'2014'!H18,'2015'!H18,'2016'!H18,'2017'!H18,'2018'!H18,'2019'!H18,'2020'!H18,'2021'!H18,'2022'!H18,'2023'!H18,'2024'!H18,'2025'!H18)</f>
        <v/>
      </c>
      <c r="I18" s="8">
        <f>AVERAGE('2010'!I18,'2011'!I18,'2012'!I18,'2013'!I18,'2014'!I18,'2015'!I18,'2016'!I18,'2017'!I18,'2018'!I18,'2019'!I18,'2020'!I18,'2021'!I18,'2022'!I18,'2023'!I18,'2024'!I18,'2025'!I18)</f>
        <v/>
      </c>
      <c r="J18" s="8">
        <f>AVERAGE('2010'!J18,'2011'!J18,'2012'!J18,'2013'!J18,'2014'!J18,'2015'!J18,'2016'!J18,'2017'!J18,'2018'!J18,'2019'!J18,'2020'!J18,'2021'!J18,'2022'!J18,'2023'!J18,'2024'!J18,'2025'!J18)</f>
        <v/>
      </c>
      <c r="K18" s="8">
        <f>AVERAGE('2010'!K18,'2011'!K18,'2012'!K18,'2013'!K18,'2014'!K18,'2015'!K18,'2016'!K18,'2017'!K18,'2018'!K18,'2019'!K18,'2020'!K18,'2021'!K18,'2022'!K18,'2023'!K18,'2024'!K18,'2025'!K18)</f>
        <v/>
      </c>
      <c r="L18" s="8">
        <f>AVERAGE('2010'!L18,'2011'!L18,'2012'!L18,'2013'!L18,'2014'!L18,'2015'!L18,'2016'!L18,'2017'!L18,'2018'!L18,'2019'!L18,'2020'!L18,'2021'!L18,'2022'!L18,'2023'!L18,'2024'!L18,'2025'!L18)</f>
        <v/>
      </c>
      <c r="M18" s="8">
        <f>AVERAGE('2010'!M18,'2011'!M18,'2012'!M18,'2013'!M18,'2014'!M18,'2015'!M18,'2016'!M18,'2017'!M18,'2018'!M18,'2019'!M18,'2020'!M18,'2021'!M18,'2022'!M18,'2023'!M18,'2024'!M18,'2025'!M18)</f>
        <v/>
      </c>
      <c r="N18" s="9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>
        <f>AVERAGE('2010'!B20,'2011'!B20,'2012'!B20,'2013'!B20,'2014'!B20,'2015'!B20,'2016'!B20,'2017'!B20,'2018'!B20,'2019'!B20,'2020'!B20,'2021'!B20,'2022'!B20,'2023'!B20,'2024'!B20,'2025'!B20)</f>
        <v/>
      </c>
      <c r="C20" s="8">
        <f>AVERAGE('2010'!C20,'2011'!C20,'2012'!C20,'2013'!C20,'2014'!C20,'2015'!C20,'2016'!C20,'2017'!C20,'2018'!C20,'2019'!C20,'2020'!C20,'2021'!C20,'2022'!C20,'2023'!C20,'2024'!C20,'2025'!C20)</f>
        <v/>
      </c>
      <c r="D20" s="8">
        <f>AVERAGE('2010'!D20,'2011'!D20,'2012'!D20,'2013'!D20,'2014'!D20,'2015'!D20,'2016'!D20,'2017'!D20,'2018'!D20,'2019'!D20,'2020'!D20,'2021'!D20,'2022'!D20,'2023'!D20,'2024'!D20,'2025'!D20)</f>
        <v/>
      </c>
      <c r="E20" s="8">
        <f>AVERAGE('2010'!E20,'2011'!E20,'2012'!E20,'2013'!E20,'2014'!E20,'2015'!E20,'2016'!E20,'2017'!E20,'2018'!E20,'2019'!E20,'2020'!E20,'2021'!E20,'2022'!E20,'2023'!E20,'2024'!E20,'2025'!E20)</f>
        <v/>
      </c>
      <c r="F20" s="8">
        <f>AVERAGE('2010'!F20,'2011'!F20,'2012'!F20,'2013'!F20,'2014'!F20,'2015'!F20,'2016'!F20,'2017'!F20,'2018'!F20,'2019'!F20,'2020'!F20,'2021'!F20,'2022'!F20,'2023'!F20,'2024'!F20,'2025'!F20)</f>
        <v/>
      </c>
      <c r="G20" s="8">
        <f>AVERAGE('2010'!G20,'2011'!G20,'2012'!G20,'2013'!G20,'2014'!G20,'2015'!G20,'2016'!G20,'2017'!G20,'2018'!G20,'2019'!G20,'2020'!G20,'2021'!G20,'2022'!G20,'2023'!G20,'2024'!G20,'2025'!G20)</f>
        <v/>
      </c>
      <c r="H20" s="8">
        <f>AVERAGE('2010'!H20,'2011'!H20,'2012'!H20,'2013'!H20,'2014'!H20,'2015'!H20,'2016'!H20,'2017'!H20,'2018'!H20,'2019'!H20,'2020'!H20,'2021'!H20,'2022'!H20,'2023'!H20,'2024'!H20,'2025'!H20)</f>
        <v/>
      </c>
      <c r="I20" s="8">
        <f>AVERAGE('2010'!I20,'2011'!I20,'2012'!I20,'2013'!I20,'2014'!I20,'2015'!I20,'2016'!I20,'2017'!I20,'2018'!I20,'2019'!I20,'2020'!I20,'2021'!I20,'2022'!I20,'2023'!I20,'2024'!I20,'2025'!I20)</f>
        <v/>
      </c>
      <c r="J20" s="8">
        <f>AVERAGE('2010'!J20,'2011'!J20,'2012'!J20,'2013'!J20,'2014'!J20,'2015'!J20,'2016'!J20,'2017'!J20,'2018'!J20,'2019'!J20,'2020'!J20,'2021'!J20,'2022'!J20,'2023'!J20,'2024'!J20,'2025'!J20)</f>
        <v/>
      </c>
      <c r="K20" s="8">
        <f>AVERAGE('2010'!K20,'2011'!K20,'2012'!K20,'2013'!K20,'2014'!K20,'2015'!K20,'2016'!K20,'2017'!K20,'2018'!K20,'2019'!K20,'2020'!K20,'2021'!K20,'2022'!K20,'2023'!K20,'2024'!K20,'2025'!K20)</f>
        <v/>
      </c>
      <c r="L20" s="8">
        <f>AVERAGE('2010'!L20,'2011'!L20,'2012'!L20,'2013'!L20,'2014'!L20,'2015'!L20,'2016'!L20,'2017'!L20,'2018'!L20,'2019'!L20,'2020'!L20,'2021'!L20,'2022'!L20,'2023'!L20,'2024'!L20,'2025'!L20)</f>
        <v/>
      </c>
      <c r="M20" s="8">
        <f>AVERAGE('2010'!M20,'2011'!M20,'2012'!M20,'2013'!M20,'2014'!M20,'2015'!M20,'2016'!M20,'2017'!M20,'2018'!M20,'2019'!M20,'2020'!M20,'2021'!M20,'2022'!M20,'2023'!M20,'2024'!M20,'2025'!M20)</f>
        <v/>
      </c>
      <c r="N20" s="9">
        <f>SUM(B20:M20)</f>
        <v/>
      </c>
    </row>
    <row r="21">
      <c r="A21" s="7" t="inlineStr">
        <is>
          <t>Max. dnevna suma</t>
        </is>
      </c>
      <c r="B21" s="8">
        <f>AVERAGE('2010'!B21,'2011'!B21,'2012'!B21,'2013'!B21,'2014'!B21,'2015'!B21,'2016'!B21,'2017'!B21,'2018'!B21,'2019'!B21,'2020'!B21,'2021'!B21,'2022'!B21,'2023'!B21,'2024'!B21,'2025'!B21)</f>
        <v/>
      </c>
      <c r="C21" s="8">
        <f>AVERAGE('2010'!C21,'2011'!C21,'2012'!C21,'2013'!C21,'2014'!C21,'2015'!C21,'2016'!C21,'2017'!C21,'2018'!C21,'2019'!C21,'2020'!C21,'2021'!C21,'2022'!C21,'2023'!C21,'2024'!C21,'2025'!C21)</f>
        <v/>
      </c>
      <c r="D21" s="8">
        <f>AVERAGE('2010'!D21,'2011'!D21,'2012'!D21,'2013'!D21,'2014'!D21,'2015'!D21,'2016'!D21,'2017'!D21,'2018'!D21,'2019'!D21,'2020'!D21,'2021'!D21,'2022'!D21,'2023'!D21,'2024'!D21,'2025'!D21)</f>
        <v/>
      </c>
      <c r="E21" s="8">
        <f>AVERAGE('2010'!E21,'2011'!E21,'2012'!E21,'2013'!E21,'2014'!E21,'2015'!E21,'2016'!E21,'2017'!E21,'2018'!E21,'2019'!E21,'2020'!E21,'2021'!E21,'2022'!E21,'2023'!E21,'2024'!E21,'2025'!E21)</f>
        <v/>
      </c>
      <c r="F21" s="8">
        <f>AVERAGE('2010'!F21,'2011'!F21,'2012'!F21,'2013'!F21,'2014'!F21,'2015'!F21,'2016'!F21,'2017'!F21,'2018'!F21,'2019'!F21,'2020'!F21,'2021'!F21,'2022'!F21,'2023'!F21,'2024'!F21,'2025'!F21)</f>
        <v/>
      </c>
      <c r="G21" s="8">
        <f>AVERAGE('2010'!G21,'2011'!G21,'2012'!G21,'2013'!G21,'2014'!G21,'2015'!G21,'2016'!G21,'2017'!G21,'2018'!G21,'2019'!G21,'2020'!G21,'2021'!G21,'2022'!G21,'2023'!G21,'2024'!G21,'2025'!G21)</f>
        <v/>
      </c>
      <c r="H21" s="8">
        <f>AVERAGE('2010'!H21,'2011'!H21,'2012'!H21,'2013'!H21,'2014'!H21,'2015'!H21,'2016'!H21,'2017'!H21,'2018'!H21,'2019'!H21,'2020'!H21,'2021'!H21,'2022'!H21,'2023'!H21,'2024'!H21,'2025'!H21)</f>
        <v/>
      </c>
      <c r="I21" s="8">
        <f>AVERAGE('2010'!I21,'2011'!I21,'2012'!I21,'2013'!I21,'2014'!I21,'2015'!I21,'2016'!I21,'2017'!I21,'2018'!I21,'2019'!I21,'2020'!I21,'2021'!I21,'2022'!I21,'2023'!I21,'2024'!I21,'2025'!I21)</f>
        <v/>
      </c>
      <c r="J21" s="8">
        <f>AVERAGE('2010'!J21,'2011'!J21,'2012'!J21,'2013'!J21,'2014'!J21,'2015'!J21,'2016'!J21,'2017'!J21,'2018'!J21,'2019'!J21,'2020'!J21,'2021'!J21,'2022'!J21,'2023'!J21,'2024'!J21,'2025'!J21)</f>
        <v/>
      </c>
      <c r="K21" s="8">
        <f>AVERAGE('2010'!K21,'2011'!K21,'2012'!K21,'2013'!K21,'2014'!K21,'2015'!K21,'2016'!K21,'2017'!K21,'2018'!K21,'2019'!K21,'2020'!K21,'2021'!K21,'2022'!K21,'2023'!K21,'2024'!K21,'2025'!K21)</f>
        <v/>
      </c>
      <c r="L21" s="8">
        <f>AVERAGE('2010'!L21,'2011'!L21,'2012'!L21,'2013'!L21,'2014'!L21,'2015'!L21,'2016'!L21,'2017'!L21,'2018'!L21,'2019'!L21,'2020'!L21,'2021'!L21,'2022'!L21,'2023'!L21,'2024'!L21,'2025'!L21)</f>
        <v/>
      </c>
      <c r="M21" s="8">
        <f>AVERAGE('2010'!M21,'2011'!M21,'2012'!M21,'2013'!M21,'2014'!M21,'2015'!M21,'2016'!M21,'2017'!M21,'2018'!M21,'2019'!M21,'2020'!M21,'2021'!M21,'2022'!M21,'2023'!M21,'2024'!M21,'2025'!M21)</f>
        <v/>
      </c>
      <c r="N21" s="9">
        <f>MAX(B21:M21)</f>
        <v/>
      </c>
    </row>
    <row r="22">
      <c r="A22" s="7" t="inlineStr">
        <is>
          <t>Sr. br. dana &gt;= 0.1 mm</t>
        </is>
      </c>
      <c r="B22" s="8">
        <f>AVERAGE('2010'!B22,'2011'!B22,'2012'!B22,'2013'!B22,'2014'!B22,'2015'!B22,'2016'!B22,'2017'!B22,'2018'!B22,'2019'!B22,'2020'!B22,'2021'!B22,'2022'!B22,'2023'!B22,'2024'!B22,'2025'!B22)</f>
        <v/>
      </c>
      <c r="C22" s="8">
        <f>AVERAGE('2010'!C22,'2011'!C22,'2012'!C22,'2013'!C22,'2014'!C22,'2015'!C22,'2016'!C22,'2017'!C22,'2018'!C22,'2019'!C22,'2020'!C22,'2021'!C22,'2022'!C22,'2023'!C22,'2024'!C22,'2025'!C22)</f>
        <v/>
      </c>
      <c r="D22" s="8">
        <f>AVERAGE('2010'!D22,'2011'!D22,'2012'!D22,'2013'!D22,'2014'!D22,'2015'!D22,'2016'!D22,'2017'!D22,'2018'!D22,'2019'!D22,'2020'!D22,'2021'!D22,'2022'!D22,'2023'!D22,'2024'!D22,'2025'!D22)</f>
        <v/>
      </c>
      <c r="E22" s="8">
        <f>AVERAGE('2010'!E22,'2011'!E22,'2012'!E22,'2013'!E22,'2014'!E22,'2015'!E22,'2016'!E22,'2017'!E22,'2018'!E22,'2019'!E22,'2020'!E22,'2021'!E22,'2022'!E22,'2023'!E22,'2024'!E22,'2025'!E22)</f>
        <v/>
      </c>
      <c r="F22" s="8">
        <f>AVERAGE('2010'!F22,'2011'!F22,'2012'!F22,'2013'!F22,'2014'!F22,'2015'!F22,'2016'!F22,'2017'!F22,'2018'!F22,'2019'!F22,'2020'!F22,'2021'!F22,'2022'!F22,'2023'!F22,'2024'!F22,'2025'!F22)</f>
        <v/>
      </c>
      <c r="G22" s="8">
        <f>AVERAGE('2010'!G22,'2011'!G22,'2012'!G22,'2013'!G22,'2014'!G22,'2015'!G22,'2016'!G22,'2017'!G22,'2018'!G22,'2019'!G22,'2020'!G22,'2021'!G22,'2022'!G22,'2023'!G22,'2024'!G22,'2025'!G22)</f>
        <v/>
      </c>
      <c r="H22" s="8">
        <f>AVERAGE('2010'!H22,'2011'!H22,'2012'!H22,'2013'!H22,'2014'!H22,'2015'!H22,'2016'!H22,'2017'!H22,'2018'!H22,'2019'!H22,'2020'!H22,'2021'!H22,'2022'!H22,'2023'!H22,'2024'!H22,'2025'!H22)</f>
        <v/>
      </c>
      <c r="I22" s="8">
        <f>AVERAGE('2010'!I22,'2011'!I22,'2012'!I22,'2013'!I22,'2014'!I22,'2015'!I22,'2016'!I22,'2017'!I22,'2018'!I22,'2019'!I22,'2020'!I22,'2021'!I22,'2022'!I22,'2023'!I22,'2024'!I22,'2025'!I22)</f>
        <v/>
      </c>
      <c r="J22" s="8">
        <f>AVERAGE('2010'!J22,'2011'!J22,'2012'!J22,'2013'!J22,'2014'!J22,'2015'!J22,'2016'!J22,'2017'!J22,'2018'!J22,'2019'!J22,'2020'!J22,'2021'!J22,'2022'!J22,'2023'!J22,'2024'!J22,'2025'!J22)</f>
        <v/>
      </c>
      <c r="K22" s="8">
        <f>AVERAGE('2010'!K22,'2011'!K22,'2012'!K22,'2013'!K22,'2014'!K22,'2015'!K22,'2016'!K22,'2017'!K22,'2018'!K22,'2019'!K22,'2020'!K22,'2021'!K22,'2022'!K22,'2023'!K22,'2024'!K22,'2025'!K22)</f>
        <v/>
      </c>
      <c r="L22" s="8">
        <f>AVERAGE('2010'!L22,'2011'!L22,'2012'!L22,'2013'!L22,'2014'!L22,'2015'!L22,'2016'!L22,'2017'!L22,'2018'!L22,'2019'!L22,'2020'!L22,'2021'!L22,'2022'!L22,'2023'!L22,'2024'!L22,'2025'!L22)</f>
        <v/>
      </c>
      <c r="M22" s="8">
        <f>AVERAGE('2010'!M22,'2011'!M22,'2012'!M22,'2013'!M22,'2014'!M22,'2015'!M22,'2016'!M22,'2017'!M22,'2018'!M22,'2019'!M22,'2020'!M22,'2021'!M22,'2022'!M22,'2023'!M22,'2024'!M22,'2025'!M22)</f>
        <v/>
      </c>
      <c r="N22" s="9">
        <f>SUM(B22:M22)</f>
        <v/>
      </c>
    </row>
    <row r="23">
      <c r="A23" s="7" t="inlineStr">
        <is>
          <t>Sr. br. dana &gt;= 10.0 mm</t>
        </is>
      </c>
      <c r="B23" s="8">
        <f>AVERAGE('2010'!B23,'2011'!B23,'2012'!B23,'2013'!B23,'2014'!B23,'2015'!B23,'2016'!B23,'2017'!B23,'2018'!B23,'2019'!B23,'2020'!B23,'2021'!B23,'2022'!B23,'2023'!B23,'2024'!B23,'2025'!B23)</f>
        <v/>
      </c>
      <c r="C23" s="8">
        <f>AVERAGE('2010'!C23,'2011'!C23,'2012'!C23,'2013'!C23,'2014'!C23,'2015'!C23,'2016'!C23,'2017'!C23,'2018'!C23,'2019'!C23,'2020'!C23,'2021'!C23,'2022'!C23,'2023'!C23,'2024'!C23,'2025'!C23)</f>
        <v/>
      </c>
      <c r="D23" s="8">
        <f>AVERAGE('2010'!D23,'2011'!D23,'2012'!D23,'2013'!D23,'2014'!D23,'2015'!D23,'2016'!D23,'2017'!D23,'2018'!D23,'2019'!D23,'2020'!D23,'2021'!D23,'2022'!D23,'2023'!D23,'2024'!D23,'2025'!D23)</f>
        <v/>
      </c>
      <c r="E23" s="8">
        <f>AVERAGE('2010'!E23,'2011'!E23,'2012'!E23,'2013'!E23,'2014'!E23,'2015'!E23,'2016'!E23,'2017'!E23,'2018'!E23,'2019'!E23,'2020'!E23,'2021'!E23,'2022'!E23,'2023'!E23,'2024'!E23,'2025'!E23)</f>
        <v/>
      </c>
      <c r="F23" s="8">
        <f>AVERAGE('2010'!F23,'2011'!F23,'2012'!F23,'2013'!F23,'2014'!F23,'2015'!F23,'2016'!F23,'2017'!F23,'2018'!F23,'2019'!F23,'2020'!F23,'2021'!F23,'2022'!F23,'2023'!F23,'2024'!F23,'2025'!F23)</f>
        <v/>
      </c>
      <c r="G23" s="8">
        <f>AVERAGE('2010'!G23,'2011'!G23,'2012'!G23,'2013'!G23,'2014'!G23,'2015'!G23,'2016'!G23,'2017'!G23,'2018'!G23,'2019'!G23,'2020'!G23,'2021'!G23,'2022'!G23,'2023'!G23,'2024'!G23,'2025'!G23)</f>
        <v/>
      </c>
      <c r="H23" s="8">
        <f>AVERAGE('2010'!H23,'2011'!H23,'2012'!H23,'2013'!H23,'2014'!H23,'2015'!H23,'2016'!H23,'2017'!H23,'2018'!H23,'2019'!H23,'2020'!H23,'2021'!H23,'2022'!H23,'2023'!H23,'2024'!H23,'2025'!H23)</f>
        <v/>
      </c>
      <c r="I23" s="8">
        <f>AVERAGE('2010'!I23,'2011'!I23,'2012'!I23,'2013'!I23,'2014'!I23,'2015'!I23,'2016'!I23,'2017'!I23,'2018'!I23,'2019'!I23,'2020'!I23,'2021'!I23,'2022'!I23,'2023'!I23,'2024'!I23,'2025'!I23)</f>
        <v/>
      </c>
      <c r="J23" s="8">
        <f>AVERAGE('2010'!J23,'2011'!J23,'2012'!J23,'2013'!J23,'2014'!J23,'2015'!J23,'2016'!J23,'2017'!J23,'2018'!J23,'2019'!J23,'2020'!J23,'2021'!J23,'2022'!J23,'2023'!J23,'2024'!J23,'2025'!J23)</f>
        <v/>
      </c>
      <c r="K23" s="8">
        <f>AVERAGE('2010'!K23,'2011'!K23,'2012'!K23,'2013'!K23,'2014'!K23,'2015'!K23,'2016'!K23,'2017'!K23,'2018'!K23,'2019'!K23,'2020'!K23,'2021'!K23,'2022'!K23,'2023'!K23,'2024'!K23,'2025'!K23)</f>
        <v/>
      </c>
      <c r="L23" s="8">
        <f>AVERAGE('2010'!L23,'2011'!L23,'2012'!L23,'2013'!L23,'2014'!L23,'2015'!L23,'2016'!L23,'2017'!L23,'2018'!L23,'2019'!L23,'2020'!L23,'2021'!L23,'2022'!L23,'2023'!L23,'2024'!L23,'2025'!L23)</f>
        <v/>
      </c>
      <c r="M23" s="8">
        <f>AVERAGE('2010'!M23,'2011'!M23,'2012'!M23,'2013'!M23,'2014'!M23,'2015'!M23,'2016'!M23,'2017'!M23,'2018'!M23,'2019'!M23,'2020'!M23,'2021'!M23,'2022'!M23,'2023'!M23,'2024'!M23,'2025'!M23)</f>
        <v/>
      </c>
      <c r="N23" s="9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8">
        <f>AVERAGE('2010'!B25,'2011'!B25,'2012'!B25,'2013'!B25,'2014'!B25,'2015'!B25,'2016'!B25,'2017'!B25,'2018'!B25,'2019'!B25,'2020'!B25,'2021'!B25,'2022'!B25,'2023'!B25,'2024'!B25,'2025'!B25)</f>
        <v/>
      </c>
      <c r="C25" s="8">
        <f>AVERAGE('2010'!C25,'2011'!C25,'2012'!C25,'2013'!C25,'2014'!C25,'2015'!C25,'2016'!C25,'2017'!C25,'2018'!C25,'2019'!C25,'2020'!C25,'2021'!C25,'2022'!C25,'2023'!C25,'2024'!C25,'2025'!C25)</f>
        <v/>
      </c>
      <c r="D25" s="8">
        <f>AVERAGE('2010'!D25,'2011'!D25,'2012'!D25,'2013'!D25,'2014'!D25,'2015'!D25,'2016'!D25,'2017'!D25,'2018'!D25,'2019'!D25,'2020'!D25,'2021'!D25,'2022'!D25,'2023'!D25,'2024'!D25,'2025'!D25)</f>
        <v/>
      </c>
      <c r="E25" s="8">
        <f>AVERAGE('2010'!E25,'2011'!E25,'2012'!E25,'2013'!E25,'2014'!E25,'2015'!E25,'2016'!E25,'2017'!E25,'2018'!E25,'2019'!E25,'2020'!E25,'2021'!E25,'2022'!E25,'2023'!E25,'2024'!E25,'2025'!E25)</f>
        <v/>
      </c>
      <c r="F25" s="8">
        <f>AVERAGE('2010'!F25,'2011'!F25,'2012'!F25,'2013'!F25,'2014'!F25,'2015'!F25,'2016'!F25,'2017'!F25,'2018'!F25,'2019'!F25,'2020'!F25,'2021'!F25,'2022'!F25,'2023'!F25,'2024'!F25,'2025'!F25)</f>
        <v/>
      </c>
      <c r="G25" s="8">
        <f>AVERAGE('2010'!G25,'2011'!G25,'2012'!G25,'2013'!G25,'2014'!G25,'2015'!G25,'2016'!G25,'2017'!G25,'2018'!G25,'2019'!G25,'2020'!G25,'2021'!G25,'2022'!G25,'2023'!G25,'2024'!G25,'2025'!G25)</f>
        <v/>
      </c>
      <c r="H25" s="8">
        <f>AVERAGE('2010'!H25,'2011'!H25,'2012'!H25,'2013'!H25,'2014'!H25,'2015'!H25,'2016'!H25,'2017'!H25,'2018'!H25,'2019'!H25,'2020'!H25,'2021'!H25,'2022'!H25,'2023'!H25,'2024'!H25,'2025'!H25)</f>
        <v/>
      </c>
      <c r="I25" s="8">
        <f>AVERAGE('2010'!I25,'2011'!I25,'2012'!I25,'2013'!I25,'2014'!I25,'2015'!I25,'2016'!I25,'2017'!I25,'2018'!I25,'2019'!I25,'2020'!I25,'2021'!I25,'2022'!I25,'2023'!I25,'2024'!I25,'2025'!I25)</f>
        <v/>
      </c>
      <c r="J25" s="8">
        <f>AVERAGE('2010'!J25,'2011'!J25,'2012'!J25,'2013'!J25,'2014'!J25,'2015'!J25,'2016'!J25,'2017'!J25,'2018'!J25,'2019'!J25,'2020'!J25,'2021'!J25,'2022'!J25,'2023'!J25,'2024'!J25,'2025'!J25)</f>
        <v/>
      </c>
      <c r="K25" s="8">
        <f>AVERAGE('2010'!K25,'2011'!K25,'2012'!K25,'2013'!K25,'2014'!K25,'2015'!K25,'2016'!K25,'2017'!K25,'2018'!K25,'2019'!K25,'2020'!K25,'2021'!K25,'2022'!K25,'2023'!K25,'2024'!K25,'2025'!K25)</f>
        <v/>
      </c>
      <c r="L25" s="8">
        <f>AVERAGE('2010'!L25,'2011'!L25,'2012'!L25,'2013'!L25,'2014'!L25,'2015'!L25,'2016'!L25,'2017'!L25,'2018'!L25,'2019'!L25,'2020'!L25,'2021'!L25,'2022'!L25,'2023'!L25,'2024'!L25,'2025'!L25)</f>
        <v/>
      </c>
      <c r="M25" s="8">
        <f>AVERAGE('2010'!M25,'2011'!M25,'2012'!M25,'2013'!M25,'2014'!M25,'2015'!M25,'2016'!M25,'2017'!M25,'2018'!M25,'2019'!M25,'2020'!M25,'2021'!M25,'2022'!M25,'2023'!M25,'2024'!M25,'2025'!M25)</f>
        <v/>
      </c>
      <c r="N25" s="9">
        <f>SUM(B25:M25)</f>
        <v/>
      </c>
    </row>
    <row r="26">
      <c r="A26" s="7" t="inlineStr">
        <is>
          <t>snežnim pokrivačem</t>
        </is>
      </c>
      <c r="B26" s="8">
        <f>AVERAGE('2010'!B26,'2011'!B26,'2012'!B26,'2013'!B26,'2014'!B26,'2015'!B26,'2016'!B26,'2017'!B26,'2018'!B26,'2019'!B26,'2020'!B26,'2021'!B26,'2022'!B26,'2023'!B26,'2024'!B26,'2025'!B26)</f>
        <v/>
      </c>
      <c r="C26" s="8">
        <f>AVERAGE('2010'!C26,'2011'!C26,'2012'!C26,'2013'!C26,'2014'!C26,'2015'!C26,'2016'!C26,'2017'!C26,'2018'!C26,'2019'!C26,'2020'!C26,'2021'!C26,'2022'!C26,'2023'!C26,'2024'!C26,'2025'!C26)</f>
        <v/>
      </c>
      <c r="D26" s="8">
        <f>AVERAGE('2010'!D26,'2011'!D26,'2012'!D26,'2013'!D26,'2014'!D26,'2015'!D26,'2016'!D26,'2017'!D26,'2018'!D26,'2019'!D26,'2020'!D26,'2021'!D26,'2022'!D26,'2023'!D26,'2024'!D26,'2025'!D26)</f>
        <v/>
      </c>
      <c r="E26" s="8">
        <f>AVERAGE('2010'!E26,'2011'!E26,'2012'!E26,'2013'!E26,'2014'!E26,'2015'!E26,'2016'!E26,'2017'!E26,'2018'!E26,'2019'!E26,'2020'!E26,'2021'!E26,'2022'!E26,'2023'!E26,'2024'!E26,'2025'!E26)</f>
        <v/>
      </c>
      <c r="F26" s="8">
        <f>AVERAGE('2010'!F26,'2011'!F26,'2012'!F26,'2013'!F26,'2014'!F26,'2015'!F26,'2016'!F26,'2017'!F26,'2018'!F26,'2019'!F26,'2020'!F26,'2021'!F26,'2022'!F26,'2023'!F26,'2024'!F26,'2025'!F26)</f>
        <v/>
      </c>
      <c r="G26" s="8">
        <f>AVERAGE('2010'!G26,'2011'!G26,'2012'!G26,'2013'!G26,'2014'!G26,'2015'!G26,'2016'!G26,'2017'!G26,'2018'!G26,'2019'!G26,'2020'!G26,'2021'!G26,'2022'!G26,'2023'!G26,'2024'!G26,'2025'!G26)</f>
        <v/>
      </c>
      <c r="H26" s="8">
        <f>AVERAGE('2010'!H26,'2011'!H26,'2012'!H26,'2013'!H26,'2014'!H26,'2015'!H26,'2016'!H26,'2017'!H26,'2018'!H26,'2019'!H26,'2020'!H26,'2021'!H26,'2022'!H26,'2023'!H26,'2024'!H26,'2025'!H26)</f>
        <v/>
      </c>
      <c r="I26" s="8">
        <f>AVERAGE('2010'!I26,'2011'!I26,'2012'!I26,'2013'!I26,'2014'!I26,'2015'!I26,'2016'!I26,'2017'!I26,'2018'!I26,'2019'!I26,'2020'!I26,'2021'!I26,'2022'!I26,'2023'!I26,'2024'!I26,'2025'!I26)</f>
        <v/>
      </c>
      <c r="J26" s="8">
        <f>AVERAGE('2010'!J26,'2011'!J26,'2012'!J26,'2013'!J26,'2014'!J26,'2015'!J26,'2016'!J26,'2017'!J26,'2018'!J26,'2019'!J26,'2020'!J26,'2021'!J26,'2022'!J26,'2023'!J26,'2024'!J26,'2025'!J26)</f>
        <v/>
      </c>
      <c r="K26" s="8">
        <f>AVERAGE('2010'!K26,'2011'!K26,'2012'!K26,'2013'!K26,'2014'!K26,'2015'!K26,'2016'!K26,'2017'!K26,'2018'!K26,'2019'!K26,'2020'!K26,'2021'!K26,'2022'!K26,'2023'!K26,'2024'!K26,'2025'!K26)</f>
        <v/>
      </c>
      <c r="L26" s="8">
        <f>AVERAGE('2010'!L26,'2011'!L26,'2012'!L26,'2013'!L26,'2014'!L26,'2015'!L26,'2016'!L26,'2017'!L26,'2018'!L26,'2019'!L26,'2020'!L26,'2021'!L26,'2022'!L26,'2023'!L26,'2024'!L26,'2025'!L26)</f>
        <v/>
      </c>
      <c r="M26" s="8">
        <f>AVERAGE('2010'!M26,'2011'!M26,'2012'!M26,'2013'!M26,'2014'!M26,'2015'!M26,'2016'!M26,'2017'!M26,'2018'!M26,'2019'!M26,'2020'!M26,'2021'!M26,'2022'!M26,'2023'!M26,'2024'!M26,'2025'!M26)</f>
        <v/>
      </c>
      <c r="N26" s="9">
        <f>SUM(B26:M26)</f>
        <v/>
      </c>
    </row>
    <row r="27">
      <c r="A27" s="7" t="inlineStr">
        <is>
          <t>maglom</t>
        </is>
      </c>
      <c r="B27" s="8">
        <f>AVERAGE('2010'!B27,'2011'!B27,'2012'!B27,'2013'!B27,'2014'!B27,'2015'!B27,'2016'!B27,'2017'!B27,'2018'!B27,'2019'!B27,'2020'!B27,'2021'!B27,'2022'!B27,'2023'!B27,'2024'!B27,'2025'!B27)</f>
        <v/>
      </c>
      <c r="C27" s="8">
        <f>AVERAGE('2010'!C27,'2011'!C27,'2012'!C27,'2013'!C27,'2014'!C27,'2015'!C27,'2016'!C27,'2017'!C27,'2018'!C27,'2019'!C27,'2020'!C27,'2021'!C27,'2022'!C27,'2023'!C27,'2024'!C27,'2025'!C27)</f>
        <v/>
      </c>
      <c r="D27" s="8">
        <f>AVERAGE('2010'!D27,'2011'!D27,'2012'!D27,'2013'!D27,'2014'!D27,'2015'!D27,'2016'!D27,'2017'!D27,'2018'!D27,'2019'!D27,'2020'!D27,'2021'!D27,'2022'!D27,'2023'!D27,'2024'!D27,'2025'!D27)</f>
        <v/>
      </c>
      <c r="E27" s="8">
        <f>AVERAGE('2010'!E27,'2011'!E27,'2012'!E27,'2013'!E27,'2014'!E27,'2015'!E27,'2016'!E27,'2017'!E27,'2018'!E27,'2019'!E27,'2020'!E27,'2021'!E27,'2022'!E27,'2023'!E27,'2024'!E27,'2025'!E27)</f>
        <v/>
      </c>
      <c r="F27" s="8">
        <f>AVERAGE('2010'!F27,'2011'!F27,'2012'!F27,'2013'!F27,'2014'!F27,'2015'!F27,'2016'!F27,'2017'!F27,'2018'!F27,'2019'!F27,'2020'!F27,'2021'!F27,'2022'!F27,'2023'!F27,'2024'!F27,'2025'!F27)</f>
        <v/>
      </c>
      <c r="G27" s="8">
        <f>AVERAGE('2010'!G27,'2011'!G27,'2012'!G27,'2013'!G27,'2014'!G27,'2015'!G27,'2016'!G27,'2017'!G27,'2018'!G27,'2019'!G27,'2020'!G27,'2021'!G27,'2022'!G27,'2023'!G27,'2024'!G27,'2025'!G27)</f>
        <v/>
      </c>
      <c r="H27" s="8">
        <f>AVERAGE('2010'!H27,'2011'!H27,'2012'!H27,'2013'!H27,'2014'!H27,'2015'!H27,'2016'!H27,'2017'!H27,'2018'!H27,'2019'!H27,'2020'!H27,'2021'!H27,'2022'!H27,'2023'!H27,'2024'!H27,'2025'!H27)</f>
        <v/>
      </c>
      <c r="I27" s="8">
        <f>AVERAGE('2010'!I27,'2011'!I27,'2012'!I27,'2013'!I27,'2014'!I27,'2015'!I27,'2016'!I27,'2017'!I27,'2018'!I27,'2019'!I27,'2020'!I27,'2021'!I27,'2022'!I27,'2023'!I27,'2024'!I27,'2025'!I27)</f>
        <v/>
      </c>
      <c r="J27" s="8">
        <f>AVERAGE('2010'!J27,'2011'!J27,'2012'!J27,'2013'!J27,'2014'!J27,'2015'!J27,'2016'!J27,'2017'!J27,'2018'!J27,'2019'!J27,'2020'!J27,'2021'!J27,'2022'!J27,'2023'!J27,'2024'!J27,'2025'!J27)</f>
        <v/>
      </c>
      <c r="K27" s="8">
        <f>AVERAGE('2010'!K27,'2011'!K27,'2012'!K27,'2013'!K27,'2014'!K27,'2015'!K27,'2016'!K27,'2017'!K27,'2018'!K27,'2019'!K27,'2020'!K27,'2021'!K27,'2022'!K27,'2023'!K27,'2024'!K27,'2025'!K27)</f>
        <v/>
      </c>
      <c r="L27" s="8">
        <f>AVERAGE('2010'!L27,'2011'!L27,'2012'!L27,'2013'!L27,'2014'!L27,'2015'!L27,'2016'!L27,'2017'!L27,'2018'!L27,'2019'!L27,'2020'!L27,'2021'!L27,'2022'!L27,'2023'!L27,'2024'!L27,'2025'!L27)</f>
        <v/>
      </c>
      <c r="M27" s="8">
        <f>AVERAGE('2010'!M27,'2011'!M27,'2012'!M27,'2013'!M27,'2014'!M27,'2015'!M27,'2016'!M27,'2017'!M27,'2018'!M27,'2019'!M27,'2020'!M27,'2021'!M27,'2022'!M27,'2023'!M27,'2024'!M27,'2025'!M27)</f>
        <v/>
      </c>
      <c r="N27" s="9">
        <f>SUM(B27:M27)</f>
        <v/>
      </c>
    </row>
    <row r="28">
      <c r="A28" s="7" t="inlineStr">
        <is>
          <t>gradom</t>
        </is>
      </c>
      <c r="B28" s="8">
        <f>AVERAGE('2010'!B28,'2011'!B28,'2012'!B28,'2013'!B28,'2014'!B28,'2015'!B28,'2016'!B28,'2017'!B28,'2018'!B28,'2019'!B28,'2020'!B28,'2021'!B28,'2022'!B28,'2023'!B28,'2024'!B28,'2025'!B28)</f>
        <v/>
      </c>
      <c r="C28" s="8">
        <f>AVERAGE('2010'!C28,'2011'!C28,'2012'!C28,'2013'!C28,'2014'!C28,'2015'!C28,'2016'!C28,'2017'!C28,'2018'!C28,'2019'!C28,'2020'!C28,'2021'!C28,'2022'!C28,'2023'!C28,'2024'!C28,'2025'!C28)</f>
        <v/>
      </c>
      <c r="D28" s="8">
        <f>AVERAGE('2010'!D28,'2011'!D28,'2012'!D28,'2013'!D28,'2014'!D28,'2015'!D28,'2016'!D28,'2017'!D28,'2018'!D28,'2019'!D28,'2020'!D28,'2021'!D28,'2022'!D28,'2023'!D28,'2024'!D28,'2025'!D28)</f>
        <v/>
      </c>
      <c r="E28" s="8">
        <f>AVERAGE('2010'!E28,'2011'!E28,'2012'!E28,'2013'!E28,'2014'!E28,'2015'!E28,'2016'!E28,'2017'!E28,'2018'!E28,'2019'!E28,'2020'!E28,'2021'!E28,'2022'!E28,'2023'!E28,'2024'!E28,'2025'!E28)</f>
        <v/>
      </c>
      <c r="F28" s="8">
        <f>AVERAGE('2010'!F28,'2011'!F28,'2012'!F28,'2013'!F28,'2014'!F28,'2015'!F28,'2016'!F28,'2017'!F28,'2018'!F28,'2019'!F28,'2020'!F28,'2021'!F28,'2022'!F28,'2023'!F28,'2024'!F28,'2025'!F28)</f>
        <v/>
      </c>
      <c r="G28" s="8">
        <f>AVERAGE('2010'!G28,'2011'!G28,'2012'!G28,'2013'!G28,'2014'!G28,'2015'!G28,'2016'!G28,'2017'!G28,'2018'!G28,'2019'!G28,'2020'!G28,'2021'!G28,'2022'!G28,'2023'!G28,'2024'!G28,'2025'!G28)</f>
        <v/>
      </c>
      <c r="H28" s="8">
        <f>AVERAGE('2010'!H28,'2011'!H28,'2012'!H28,'2013'!H28,'2014'!H28,'2015'!H28,'2016'!H28,'2017'!H28,'2018'!H28,'2019'!H28,'2020'!H28,'2021'!H28,'2022'!H28,'2023'!H28,'2024'!H28,'2025'!H28)</f>
        <v/>
      </c>
      <c r="I28" s="8">
        <f>AVERAGE('2010'!I28,'2011'!I28,'2012'!I28,'2013'!I28,'2014'!I28,'2015'!I28,'2016'!I28,'2017'!I28,'2018'!I28,'2019'!I28,'2020'!I28,'2021'!I28,'2022'!I28,'2023'!I28,'2024'!I28,'2025'!I28)</f>
        <v/>
      </c>
      <c r="J28" s="8">
        <f>AVERAGE('2010'!J28,'2011'!J28,'2012'!J28,'2013'!J28,'2014'!J28,'2015'!J28,'2016'!J28,'2017'!J28,'2018'!J28,'2019'!J28,'2020'!J28,'2021'!J28,'2022'!J28,'2023'!J28,'2024'!J28,'2025'!J28)</f>
        <v/>
      </c>
      <c r="K28" s="8">
        <f>AVERAGE('2010'!K28,'2011'!K28,'2012'!K28,'2013'!K28,'2014'!K28,'2015'!K28,'2016'!K28,'2017'!K28,'2018'!K28,'2019'!K28,'2020'!K28,'2021'!K28,'2022'!K28,'2023'!K28,'2024'!K28,'2025'!K28)</f>
        <v/>
      </c>
      <c r="L28" s="8">
        <f>AVERAGE('2010'!L28,'2011'!L28,'2012'!L28,'2013'!L28,'2014'!L28,'2015'!L28,'2016'!L28,'2017'!L28,'2018'!L28,'2019'!L28,'2020'!L28,'2021'!L28,'2022'!L28,'2023'!L28,'2024'!L28,'2025'!L28)</f>
        <v/>
      </c>
      <c r="M28" s="8">
        <f>AVERAGE('2010'!M28,'2011'!M28,'2012'!M28,'2013'!M28,'2014'!M28,'2015'!M28,'2016'!M28,'2017'!M28,'2018'!M28,'2019'!M28,'2020'!M28,'2021'!M28,'2022'!M28,'2023'!M28,'2024'!M28,'2025'!M28)</f>
        <v/>
      </c>
      <c r="N28" s="9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2010.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2.9</v>
      </c>
      <c r="C6" s="8" t="n">
        <v>4.7</v>
      </c>
      <c r="D6" s="8" t="n">
        <v>6.8</v>
      </c>
      <c r="E6" s="8" t="n">
        <v>11.8</v>
      </c>
      <c r="F6" s="8" t="n">
        <v>15</v>
      </c>
      <c r="G6" s="8" t="n">
        <v>19.8</v>
      </c>
      <c r="H6" s="8" t="n">
        <v>24.2</v>
      </c>
      <c r="I6" s="8" t="n">
        <v>24.6</v>
      </c>
      <c r="J6" s="8" t="n">
        <v>17.8</v>
      </c>
      <c r="K6" s="8" t="n">
        <v>11.7</v>
      </c>
      <c r="L6" s="8" t="n">
        <v>10.2</v>
      </c>
      <c r="M6" s="8" t="n">
        <v>4.3</v>
      </c>
      <c r="N6" s="9">
        <f>AVERAGE(B6:M6)</f>
        <v/>
      </c>
    </row>
    <row r="7">
      <c r="A7" s="7" t="inlineStr">
        <is>
          <t>Srednja maksimalna</t>
        </is>
      </c>
      <c r="B7" s="8" t="n">
        <v>7.5</v>
      </c>
      <c r="C7" s="8" t="n">
        <v>9</v>
      </c>
      <c r="D7" s="8" t="n">
        <v>12.1</v>
      </c>
      <c r="E7" s="8" t="n">
        <v>17.5</v>
      </c>
      <c r="F7" s="8" t="n">
        <v>19.9</v>
      </c>
      <c r="G7" s="8" t="n">
        <v>25.1</v>
      </c>
      <c r="H7" s="8" t="n">
        <v>30</v>
      </c>
      <c r="I7" s="8" t="n">
        <v>31</v>
      </c>
      <c r="J7" s="8" t="n">
        <v>23.4</v>
      </c>
      <c r="K7" s="8" t="n">
        <v>16.6</v>
      </c>
      <c r="L7" s="8" t="n">
        <v>14.6</v>
      </c>
      <c r="M7" s="8" t="n">
        <v>8</v>
      </c>
      <c r="N7" s="9">
        <f>AVERAGE(B7:M7)</f>
        <v/>
      </c>
    </row>
    <row r="8">
      <c r="A8" s="7" t="inlineStr">
        <is>
          <t>Srednja minimalna</t>
        </is>
      </c>
      <c r="B8" s="8" t="n">
        <v>-1.1</v>
      </c>
      <c r="C8" s="8" t="n">
        <v>0.3</v>
      </c>
      <c r="D8" s="8" t="n">
        <v>1</v>
      </c>
      <c r="E8" s="8" t="n">
        <v>5.5</v>
      </c>
      <c r="F8" s="8" t="n">
        <v>9.1</v>
      </c>
      <c r="G8" s="8" t="n">
        <v>13</v>
      </c>
      <c r="H8" s="8" t="n">
        <v>16.8</v>
      </c>
      <c r="I8" s="8" t="n">
        <v>16.4</v>
      </c>
      <c r="J8" s="8" t="n">
        <v>12.1</v>
      </c>
      <c r="K8" s="8" t="n">
        <v>6.9</v>
      </c>
      <c r="L8" s="8" t="n">
        <v>6.3</v>
      </c>
      <c r="M8" s="8" t="n">
        <v>0.5</v>
      </c>
      <c r="N8" s="9">
        <f>AVERAGE(B8:M8)</f>
        <v/>
      </c>
    </row>
    <row r="9">
      <c r="A9" s="7" t="inlineStr">
        <is>
          <t>Apsolutni maksimum</t>
        </is>
      </c>
      <c r="B9" s="8" t="n">
        <v>13.6</v>
      </c>
      <c r="C9" s="8" t="n">
        <v>13.5</v>
      </c>
      <c r="D9" s="8" t="n">
        <v>17.8</v>
      </c>
      <c r="E9" s="8" t="n">
        <v>22.2</v>
      </c>
      <c r="F9" s="8" t="n">
        <v>25</v>
      </c>
      <c r="G9" s="8" t="n">
        <v>31.5</v>
      </c>
      <c r="H9" s="8" t="n">
        <v>36.2</v>
      </c>
      <c r="I9" s="8" t="n">
        <v>34.5</v>
      </c>
      <c r="J9" s="8" t="n">
        <v>26.8</v>
      </c>
      <c r="K9" s="8" t="n">
        <v>21.2</v>
      </c>
      <c r="L9" s="8" t="n">
        <v>20.5</v>
      </c>
      <c r="M9" s="8" t="n">
        <v>15.1</v>
      </c>
      <c r="N9" s="9">
        <f>MAX(B9:M9)</f>
        <v/>
      </c>
    </row>
    <row r="10">
      <c r="A10" s="7" t="inlineStr">
        <is>
          <t>Apsolutni minimum</t>
        </is>
      </c>
      <c r="B10" s="8" t="n">
        <v>-9.699999999999999</v>
      </c>
      <c r="C10" s="8" t="n">
        <v>-7.7</v>
      </c>
      <c r="D10" s="8" t="n">
        <v>-5.8</v>
      </c>
      <c r="E10" s="8" t="n">
        <v>0.9</v>
      </c>
      <c r="F10" s="8" t="n">
        <v>5.3</v>
      </c>
      <c r="G10" s="8" t="n">
        <v>7</v>
      </c>
      <c r="H10" s="8" t="n">
        <v>12.7</v>
      </c>
      <c r="I10" s="8" t="n">
        <v>11.9</v>
      </c>
      <c r="J10" s="8" t="n">
        <v>5.7</v>
      </c>
      <c r="K10" s="8" t="n">
        <v>-0.3</v>
      </c>
      <c r="L10" s="8" t="n">
        <v>1.8</v>
      </c>
      <c r="M10" s="8" t="n">
        <v>-8.199999999999999</v>
      </c>
      <c r="N10" s="9">
        <f>MIN(B10:M10)</f>
        <v/>
      </c>
    </row>
    <row r="11">
      <c r="A11" s="7" t="inlineStr">
        <is>
          <t>Sr. br. mraznih dana</t>
        </is>
      </c>
      <c r="B11" s="10" t="n">
        <v>21</v>
      </c>
      <c r="C11" s="10" t="n">
        <v>12</v>
      </c>
      <c r="D11" s="10" t="n">
        <v>13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1</v>
      </c>
      <c r="L11" s="10" t="n">
        <v>0</v>
      </c>
      <c r="M11" s="10" t="n">
        <v>17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5</v>
      </c>
      <c r="H12" s="10" t="n">
        <v>18</v>
      </c>
      <c r="I12" s="10" t="n">
        <v>22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77.59999999999999</v>
      </c>
      <c r="C14" s="8" t="n">
        <v>81</v>
      </c>
      <c r="D14" s="8" t="n">
        <v>74</v>
      </c>
      <c r="E14" s="8" t="n">
        <v>72.5</v>
      </c>
      <c r="F14" s="8" t="n">
        <v>73.40000000000001</v>
      </c>
      <c r="G14" s="8" t="n">
        <v>69.3</v>
      </c>
      <c r="H14" s="8" t="n">
        <v>57.9</v>
      </c>
      <c r="I14" s="8" t="n">
        <v>52.2</v>
      </c>
      <c r="J14" s="8" t="n">
        <v>69.5</v>
      </c>
      <c r="K14" s="8" t="n">
        <v>76.59999999999999</v>
      </c>
      <c r="L14" s="8" t="n">
        <v>87.09999999999999</v>
      </c>
      <c r="M14" s="8" t="n">
        <v>77.09999999999999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178.6</v>
      </c>
      <c r="C16" s="8" t="n">
        <v>145.1</v>
      </c>
      <c r="D16" s="8" t="n">
        <v>267.6</v>
      </c>
      <c r="E16" s="8" t="n">
        <v>302.3</v>
      </c>
      <c r="F16" s="8" t="n">
        <v>360.1</v>
      </c>
      <c r="G16" s="8" t="n">
        <v>395.8</v>
      </c>
      <c r="H16" s="8" t="n">
        <v>431.8</v>
      </c>
      <c r="I16" s="8" t="n">
        <v>414.8</v>
      </c>
      <c r="J16" s="8" t="n">
        <v>317.3</v>
      </c>
      <c r="K16" s="8" t="n">
        <v>239.1</v>
      </c>
      <c r="L16" s="8" t="n">
        <v>163.7</v>
      </c>
      <c r="M16" s="8" t="n">
        <v>181.3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1</v>
      </c>
      <c r="D17" s="10" t="n">
        <v>2</v>
      </c>
      <c r="E17" s="10" t="n">
        <v>5</v>
      </c>
      <c r="F17" s="10" t="n">
        <v>2</v>
      </c>
      <c r="G17" s="10" t="n">
        <v>9</v>
      </c>
      <c r="H17" s="10" t="n">
        <v>15</v>
      </c>
      <c r="I17" s="10" t="n">
        <v>23</v>
      </c>
      <c r="J17" s="10" t="n">
        <v>8</v>
      </c>
      <c r="K17" s="10" t="n">
        <v>9</v>
      </c>
      <c r="L17" s="10" t="n">
        <v>5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14</v>
      </c>
      <c r="C18" s="10" t="n">
        <v>16</v>
      </c>
      <c r="D18" s="10" t="n">
        <v>9</v>
      </c>
      <c r="E18" s="10" t="n">
        <v>8</v>
      </c>
      <c r="F18" s="10" t="n">
        <v>10</v>
      </c>
      <c r="G18" s="10" t="n">
        <v>4</v>
      </c>
      <c r="H18" s="10" t="n">
        <v>0</v>
      </c>
      <c r="I18" s="10" t="n">
        <v>0</v>
      </c>
      <c r="J18" s="10" t="n">
        <v>4</v>
      </c>
      <c r="K18" s="10" t="n">
        <v>10</v>
      </c>
      <c r="L18" s="10" t="n">
        <v>14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280.8</v>
      </c>
      <c r="C20" s="8" t="n">
        <v>271.7</v>
      </c>
      <c r="D20" s="8" t="n">
        <v>202.6</v>
      </c>
      <c r="E20" s="8" t="n">
        <v>166.5</v>
      </c>
      <c r="F20" s="8" t="n">
        <v>180.4</v>
      </c>
      <c r="G20" s="8" t="n">
        <v>94.40000000000001</v>
      </c>
      <c r="H20" s="8" t="n">
        <v>17.8</v>
      </c>
      <c r="I20" s="8" t="n">
        <v>24.4</v>
      </c>
      <c r="J20" s="8" t="n">
        <v>179.8</v>
      </c>
      <c r="K20" s="8" t="n">
        <v>172</v>
      </c>
      <c r="L20" s="8" t="n">
        <v>361.4</v>
      </c>
      <c r="M20" s="8" t="n">
        <v>235.5</v>
      </c>
      <c r="N20" s="9">
        <f>SUM(B20:M20)</f>
        <v/>
      </c>
    </row>
    <row r="21">
      <c r="A21" s="7" t="inlineStr">
        <is>
          <t>Max. dnevna suma</t>
        </is>
      </c>
      <c r="B21" s="8" t="n">
        <v>61</v>
      </c>
      <c r="C21" s="8" t="n">
        <v>42.9</v>
      </c>
      <c r="D21" s="8" t="n">
        <v>58.2</v>
      </c>
      <c r="E21" s="8" t="n">
        <v>46.5</v>
      </c>
      <c r="F21" s="8" t="n">
        <v>59.5</v>
      </c>
      <c r="G21" s="8" t="n">
        <v>41.9</v>
      </c>
      <c r="H21" s="8" t="n">
        <v>5.7</v>
      </c>
      <c r="I21" s="8" t="n">
        <v>12.4</v>
      </c>
      <c r="J21" s="8" t="n">
        <v>63.2</v>
      </c>
      <c r="K21" s="8" t="n">
        <v>37.3</v>
      </c>
      <c r="L21" s="8" t="n">
        <v>59.8</v>
      </c>
      <c r="M21" s="8" t="n">
        <v>41.2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16</v>
      </c>
      <c r="C22" s="10" t="n">
        <v>20</v>
      </c>
      <c r="D22" s="10" t="n">
        <v>19</v>
      </c>
      <c r="E22" s="10" t="n">
        <v>20</v>
      </c>
      <c r="F22" s="10" t="n">
        <v>17</v>
      </c>
      <c r="G22" s="10" t="n">
        <v>14</v>
      </c>
      <c r="H22" s="10" t="n">
        <v>15</v>
      </c>
      <c r="I22" s="10" t="n">
        <v>9</v>
      </c>
      <c r="J22" s="10" t="n">
        <v>13</v>
      </c>
      <c r="K22" s="10" t="n">
        <v>16</v>
      </c>
      <c r="L22" s="10" t="n">
        <v>23</v>
      </c>
      <c r="M22" s="10" t="n">
        <v>21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10</v>
      </c>
      <c r="C23" s="10" t="n">
        <v>13</v>
      </c>
      <c r="D23" s="10" t="n">
        <v>6</v>
      </c>
      <c r="E23" s="10" t="n">
        <v>6</v>
      </c>
      <c r="F23" s="10" t="n">
        <v>5</v>
      </c>
      <c r="G23" s="10" t="n">
        <v>4</v>
      </c>
      <c r="H23" s="10" t="n">
        <v>0</v>
      </c>
      <c r="I23" s="10" t="n">
        <v>1</v>
      </c>
      <c r="J23" s="10" t="n">
        <v>6</v>
      </c>
      <c r="K23" s="10" t="n">
        <v>6</v>
      </c>
      <c r="L23" s="10" t="n">
        <v>13</v>
      </c>
      <c r="M23" s="10" t="n">
        <v>9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5</v>
      </c>
      <c r="C25" s="10" t="n">
        <v>2</v>
      </c>
      <c r="D25" s="10" t="n">
        <v>4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6</v>
      </c>
      <c r="N25" s="11">
        <f>SUM(B25:M25)</f>
        <v/>
      </c>
    </row>
    <row r="26">
      <c r="A26" s="7" t="inlineStr">
        <is>
          <t>snežnim pokrivačem</t>
        </is>
      </c>
      <c r="B26" s="10" t="n">
        <v>5</v>
      </c>
      <c r="C26" s="10" t="n">
        <v>2</v>
      </c>
      <c r="D26" s="10" t="n">
        <v>4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6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2011.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2.5</v>
      </c>
      <c r="C6" s="8" t="n">
        <v>3.3</v>
      </c>
      <c r="D6" s="8" t="n">
        <v>7.1</v>
      </c>
      <c r="E6" s="8" t="n">
        <v>12.3</v>
      </c>
      <c r="F6" s="8" t="n">
        <v>16.3</v>
      </c>
      <c r="G6" s="8" t="n">
        <v>21.5</v>
      </c>
      <c r="H6" s="8" t="n">
        <v>22.8</v>
      </c>
      <c r="I6" s="8" t="n">
        <v>24.7</v>
      </c>
      <c r="J6" s="8" t="n">
        <v>22</v>
      </c>
      <c r="K6" s="8" t="n">
        <v>12.7</v>
      </c>
      <c r="L6" s="8" t="n">
        <v>7</v>
      </c>
      <c r="M6" s="8" t="n">
        <v>4.7</v>
      </c>
      <c r="N6" s="9">
        <f>AVERAGE(B6:M6)</f>
        <v/>
      </c>
    </row>
    <row r="7">
      <c r="A7" s="7" t="inlineStr">
        <is>
          <t>Srednja maksimalna</t>
        </is>
      </c>
      <c r="B7" s="8" t="n">
        <v>8.1</v>
      </c>
      <c r="C7" s="8" t="n">
        <v>9.9</v>
      </c>
      <c r="D7" s="8" t="n">
        <v>12.6</v>
      </c>
      <c r="E7" s="8" t="n">
        <v>18.6</v>
      </c>
      <c r="F7" s="8" t="n">
        <v>22</v>
      </c>
      <c r="G7" s="8" t="n">
        <v>27.1</v>
      </c>
      <c r="H7" s="8" t="n">
        <v>28.2</v>
      </c>
      <c r="I7" s="8" t="n">
        <v>31.3</v>
      </c>
      <c r="J7" s="8" t="n">
        <v>28.5</v>
      </c>
      <c r="K7" s="8" t="n">
        <v>18.3</v>
      </c>
      <c r="L7" s="8" t="n">
        <v>13.9</v>
      </c>
      <c r="M7" s="8" t="n">
        <v>9.4</v>
      </c>
      <c r="N7" s="9">
        <f>AVERAGE(B7:M7)</f>
        <v/>
      </c>
    </row>
    <row r="8">
      <c r="A8" s="7" t="inlineStr">
        <is>
          <t>Srednja minimalna</t>
        </is>
      </c>
      <c r="B8" s="8" t="n">
        <v>-2.1</v>
      </c>
      <c r="C8" s="8" t="n">
        <v>-2</v>
      </c>
      <c r="D8" s="8" t="n">
        <v>1.5</v>
      </c>
      <c r="E8" s="8" t="n">
        <v>4.6</v>
      </c>
      <c r="F8" s="8" t="n">
        <v>9.300000000000001</v>
      </c>
      <c r="G8" s="8" t="n">
        <v>14.1</v>
      </c>
      <c r="H8" s="8" t="n">
        <v>16</v>
      </c>
      <c r="I8" s="8" t="n">
        <v>16.5</v>
      </c>
      <c r="J8" s="8" t="n">
        <v>14.6</v>
      </c>
      <c r="K8" s="8" t="n">
        <v>7.2</v>
      </c>
      <c r="L8" s="8" t="n">
        <v>1.6</v>
      </c>
      <c r="M8" s="8" t="n">
        <v>0.6</v>
      </c>
      <c r="N8" s="9">
        <f>AVERAGE(B8:M8)</f>
        <v/>
      </c>
    </row>
    <row r="9">
      <c r="A9" s="7" t="inlineStr">
        <is>
          <t>Apsolutni maksimum</t>
        </is>
      </c>
      <c r="B9" s="8" t="n">
        <v>13.9</v>
      </c>
      <c r="C9" s="8" t="n">
        <v>17.6</v>
      </c>
      <c r="D9" s="8" t="n">
        <v>19.3</v>
      </c>
      <c r="E9" s="8" t="n">
        <v>23.4</v>
      </c>
      <c r="F9" s="8" t="n">
        <v>26.9</v>
      </c>
      <c r="G9" s="8" t="n">
        <v>32.8</v>
      </c>
      <c r="H9" s="8" t="n">
        <v>35.2</v>
      </c>
      <c r="I9" s="8" t="n">
        <v>36.3</v>
      </c>
      <c r="J9" s="8" t="n">
        <v>33</v>
      </c>
      <c r="K9" s="8" t="n">
        <v>26.6</v>
      </c>
      <c r="L9" s="8" t="n">
        <v>17.4</v>
      </c>
      <c r="M9" s="8" t="n">
        <v>13.9</v>
      </c>
      <c r="N9" s="9">
        <f>MAX(B9:M9)</f>
        <v/>
      </c>
    </row>
    <row r="10">
      <c r="A10" s="7" t="inlineStr">
        <is>
          <t>Apsolutni minimum</t>
        </is>
      </c>
      <c r="B10" s="8" t="n">
        <v>-12.4</v>
      </c>
      <c r="C10" s="8" t="n">
        <v>-6.1</v>
      </c>
      <c r="D10" s="8" t="n">
        <v>-4.4</v>
      </c>
      <c r="E10" s="8" t="n">
        <v>-1.7</v>
      </c>
      <c r="F10" s="8" t="n">
        <v>2.1</v>
      </c>
      <c r="G10" s="8" t="n">
        <v>11.4</v>
      </c>
      <c r="H10" s="8" t="n">
        <v>11.7</v>
      </c>
      <c r="I10" s="8" t="n">
        <v>11.9</v>
      </c>
      <c r="J10" s="8" t="n">
        <v>9.9</v>
      </c>
      <c r="K10" s="8" t="n">
        <v>-1.5</v>
      </c>
      <c r="L10" s="8" t="n">
        <v>-3.7</v>
      </c>
      <c r="M10" s="8" t="n">
        <v>-5.8</v>
      </c>
      <c r="N10" s="9">
        <f>MIN(B10:M10)</f>
        <v/>
      </c>
    </row>
    <row r="11">
      <c r="A11" s="7" t="inlineStr">
        <is>
          <t>Sr. br. mraznih dana</t>
        </is>
      </c>
      <c r="B11" s="10" t="n">
        <v>23</v>
      </c>
      <c r="C11" s="10" t="n">
        <v>21</v>
      </c>
      <c r="D11" s="10" t="n">
        <v>9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2</v>
      </c>
      <c r="L11" s="10" t="n">
        <v>13</v>
      </c>
      <c r="M11" s="10" t="n">
        <v>17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4</v>
      </c>
      <c r="H12" s="10" t="n">
        <v>12</v>
      </c>
      <c r="I12" s="10" t="n">
        <v>20</v>
      </c>
      <c r="J12" s="10" t="n">
        <v>12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78.90000000000001</v>
      </c>
      <c r="C14" s="8" t="n">
        <v>72.59999999999999</v>
      </c>
      <c r="D14" s="8" t="n">
        <v>70.7</v>
      </c>
      <c r="E14" s="8" t="n">
        <v>63</v>
      </c>
      <c r="F14" s="8" t="n">
        <v>69.2</v>
      </c>
      <c r="G14" s="8" t="n">
        <v>59.5</v>
      </c>
      <c r="H14" s="8" t="n">
        <v>63</v>
      </c>
      <c r="I14" s="8" t="n">
        <v>55.1</v>
      </c>
      <c r="J14" s="8" t="n">
        <v>59.9</v>
      </c>
      <c r="K14" s="8" t="n">
        <v>68</v>
      </c>
      <c r="L14" s="8" t="n">
        <v>75.7</v>
      </c>
      <c r="M14" s="8" t="n">
        <v>81.5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206</v>
      </c>
      <c r="C16" s="8" t="n">
        <v>225.6</v>
      </c>
      <c r="D16" s="8" t="n">
        <v>284.3</v>
      </c>
      <c r="E16" s="8" t="n">
        <v>347.1</v>
      </c>
      <c r="F16" s="8" t="n">
        <v>383.5</v>
      </c>
      <c r="G16" s="8" t="n">
        <v>418.7</v>
      </c>
      <c r="H16" s="8" t="n">
        <v>411.5</v>
      </c>
      <c r="I16" s="8" t="n">
        <v>414.2</v>
      </c>
      <c r="J16" s="8" t="n">
        <v>335.5</v>
      </c>
      <c r="K16" s="8" t="n">
        <v>294.8</v>
      </c>
      <c r="L16" s="8" t="n">
        <v>243.7</v>
      </c>
      <c r="M16" s="8" t="n">
        <v>189.7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9</v>
      </c>
      <c r="D17" s="10" t="n">
        <v>11</v>
      </c>
      <c r="E17" s="10" t="n">
        <v>10</v>
      </c>
      <c r="F17" s="10" t="n">
        <v>9</v>
      </c>
      <c r="G17" s="10" t="n">
        <v>13</v>
      </c>
      <c r="H17" s="10" t="n">
        <v>16</v>
      </c>
      <c r="I17" s="10" t="n">
        <v>28</v>
      </c>
      <c r="J17" s="10" t="n">
        <v>16</v>
      </c>
      <c r="K17" s="10" t="n">
        <v>13</v>
      </c>
      <c r="L17" s="10" t="n">
        <v>13</v>
      </c>
      <c r="M17" s="10" t="n">
        <v>6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7</v>
      </c>
      <c r="D18" s="10" t="n">
        <v>9</v>
      </c>
      <c r="E18" s="10" t="n">
        <v>4</v>
      </c>
      <c r="F18" s="10" t="n">
        <v>5</v>
      </c>
      <c r="G18" s="10" t="n">
        <v>0</v>
      </c>
      <c r="H18" s="10" t="n">
        <v>1</v>
      </c>
      <c r="I18" s="10" t="n">
        <v>0</v>
      </c>
      <c r="J18" s="10" t="n">
        <v>2</v>
      </c>
      <c r="K18" s="10" t="n">
        <v>5</v>
      </c>
      <c r="L18" s="10" t="n">
        <v>5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72</v>
      </c>
      <c r="C20" s="8" t="n">
        <v>61.7</v>
      </c>
      <c r="D20" s="8" t="n">
        <v>112.5</v>
      </c>
      <c r="E20" s="8" t="n">
        <v>39.4</v>
      </c>
      <c r="F20" s="8" t="n">
        <v>119</v>
      </c>
      <c r="G20" s="8" t="n">
        <v>32.5</v>
      </c>
      <c r="H20" s="8" t="n">
        <v>120.6</v>
      </c>
      <c r="I20" s="8" t="n">
        <v>1.5</v>
      </c>
      <c r="J20" s="8" t="n">
        <v>57.7</v>
      </c>
      <c r="K20" s="8" t="n">
        <v>76.7</v>
      </c>
      <c r="L20" s="8" t="n">
        <v>89.90000000000001</v>
      </c>
      <c r="M20" s="8" t="n">
        <v>192.8</v>
      </c>
      <c r="N20" s="9">
        <f>SUM(B20:M20)</f>
        <v/>
      </c>
    </row>
    <row r="21">
      <c r="A21" s="7" t="inlineStr">
        <is>
          <t>Max. dnevna suma</t>
        </is>
      </c>
      <c r="B21" s="8" t="n">
        <v>28.7</v>
      </c>
      <c r="C21" s="8" t="n">
        <v>14</v>
      </c>
      <c r="D21" s="8" t="n">
        <v>32.2</v>
      </c>
      <c r="E21" s="8" t="n">
        <v>18.6</v>
      </c>
      <c r="F21" s="8" t="n">
        <v>33.8</v>
      </c>
      <c r="G21" s="8" t="n">
        <v>11.7</v>
      </c>
      <c r="H21" s="8" t="n">
        <v>39.7</v>
      </c>
      <c r="I21" s="8" t="n">
        <v>1.1</v>
      </c>
      <c r="J21" s="8" t="n">
        <v>37.1</v>
      </c>
      <c r="K21" s="8" t="n">
        <v>34.6</v>
      </c>
      <c r="L21" s="8" t="n">
        <v>30.7</v>
      </c>
      <c r="M21" s="8" t="n">
        <v>38.6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10</v>
      </c>
      <c r="D22" s="10" t="n">
        <v>15</v>
      </c>
      <c r="E22" s="10" t="n">
        <v>6</v>
      </c>
      <c r="F22" s="10" t="n">
        <v>22</v>
      </c>
      <c r="G22" s="10" t="n">
        <v>12</v>
      </c>
      <c r="H22" s="10" t="n">
        <v>15</v>
      </c>
      <c r="I22" s="10" t="n">
        <v>4</v>
      </c>
      <c r="J22" s="10" t="n">
        <v>5</v>
      </c>
      <c r="K22" s="10" t="n">
        <v>11</v>
      </c>
      <c r="L22" s="10" t="n">
        <v>7</v>
      </c>
      <c r="M22" s="10" t="n">
        <v>20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3</v>
      </c>
      <c r="D23" s="10" t="n">
        <v>5</v>
      </c>
      <c r="E23" s="10" t="n">
        <v>1</v>
      </c>
      <c r="F23" s="10" t="n">
        <v>3</v>
      </c>
      <c r="G23" s="10" t="n">
        <v>1</v>
      </c>
      <c r="H23" s="10" t="n">
        <v>4</v>
      </c>
      <c r="I23" s="10" t="n">
        <v>0</v>
      </c>
      <c r="J23" s="10" t="n">
        <v>2</v>
      </c>
      <c r="K23" s="10" t="n">
        <v>3</v>
      </c>
      <c r="L23" s="10" t="n">
        <v>4</v>
      </c>
      <c r="M23" s="10" t="n">
        <v>8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4</v>
      </c>
      <c r="C25" s="10" t="n">
        <v>5</v>
      </c>
      <c r="D25" s="10" t="n">
        <v>1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4</v>
      </c>
      <c r="C26" s="10" t="n">
        <v>5</v>
      </c>
      <c r="D26" s="10" t="n">
        <v>1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2012.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1.8</v>
      </c>
      <c r="C6" s="8" t="n">
        <v>-2.3</v>
      </c>
      <c r="D6" s="8" t="n">
        <v>8.5</v>
      </c>
      <c r="E6" s="8" t="n">
        <v>11</v>
      </c>
      <c r="F6" s="8" t="n">
        <v>15.4</v>
      </c>
      <c r="G6" s="8" t="n">
        <v>22.9</v>
      </c>
      <c r="H6" s="8" t="n">
        <v>26.3</v>
      </c>
      <c r="I6" s="8" t="n">
        <v>26.2</v>
      </c>
      <c r="J6" s="8" t="n">
        <v>20.2</v>
      </c>
      <c r="K6" s="8" t="n">
        <v>14.6</v>
      </c>
      <c r="L6" s="8" t="n">
        <v>10.8</v>
      </c>
      <c r="M6" s="8" t="n">
        <v>3</v>
      </c>
      <c r="N6" s="9">
        <f>AVERAGE(B6:M6)</f>
        <v/>
      </c>
    </row>
    <row r="7">
      <c r="A7" s="7" t="inlineStr">
        <is>
          <t>Srednja maksimalna</t>
        </is>
      </c>
      <c r="B7" s="8" t="n">
        <v>6.9</v>
      </c>
      <c r="C7" s="8" t="n">
        <v>3</v>
      </c>
      <c r="D7" s="8" t="n">
        <v>15.6</v>
      </c>
      <c r="E7" s="8" t="n">
        <v>15.8</v>
      </c>
      <c r="F7" s="8" t="n">
        <v>21.2</v>
      </c>
      <c r="G7" s="8" t="n">
        <v>29</v>
      </c>
      <c r="H7" s="8" t="n">
        <v>32.7</v>
      </c>
      <c r="I7" s="8" t="n">
        <v>33.1</v>
      </c>
      <c r="J7" s="8" t="n">
        <v>26.1</v>
      </c>
      <c r="K7" s="8" t="n">
        <v>20.4</v>
      </c>
      <c r="L7" s="8" t="n">
        <v>15.4</v>
      </c>
      <c r="M7" s="8" t="n">
        <v>7.6</v>
      </c>
      <c r="N7" s="9">
        <f>AVERAGE(B7:M7)</f>
        <v/>
      </c>
    </row>
    <row r="8">
      <c r="A8" s="7" t="inlineStr">
        <is>
          <t>Srednja minimalna</t>
        </is>
      </c>
      <c r="B8" s="8" t="n">
        <v>-2.5</v>
      </c>
      <c r="C8" s="8" t="n">
        <v>-7.1</v>
      </c>
      <c r="D8" s="8" t="n">
        <v>1</v>
      </c>
      <c r="E8" s="8" t="n">
        <v>5.5</v>
      </c>
      <c r="F8" s="8" t="n">
        <v>8.4</v>
      </c>
      <c r="G8" s="8" t="n">
        <v>14.8</v>
      </c>
      <c r="H8" s="8" t="n">
        <v>17.8</v>
      </c>
      <c r="I8" s="8" t="n">
        <v>17.6</v>
      </c>
      <c r="J8" s="8" t="n">
        <v>13.7</v>
      </c>
      <c r="K8" s="8" t="n">
        <v>9.1</v>
      </c>
      <c r="L8" s="8" t="n">
        <v>6.9</v>
      </c>
      <c r="M8" s="8" t="n">
        <v>-1</v>
      </c>
      <c r="N8" s="9">
        <f>AVERAGE(B8:M8)</f>
        <v/>
      </c>
    </row>
    <row r="9">
      <c r="A9" s="7" t="inlineStr">
        <is>
          <t>Apsolutni maksimum</t>
        </is>
      </c>
      <c r="B9" s="8" t="n">
        <v>11.4</v>
      </c>
      <c r="C9" s="8" t="n">
        <v>14.8</v>
      </c>
      <c r="D9" s="8" t="n">
        <v>21</v>
      </c>
      <c r="E9" s="8" t="n">
        <v>27.1</v>
      </c>
      <c r="F9" s="8" t="n">
        <v>27.6</v>
      </c>
      <c r="G9" s="8" t="n">
        <v>34.4</v>
      </c>
      <c r="H9" s="8" t="n">
        <v>36.2</v>
      </c>
      <c r="I9" s="8" t="n">
        <v>38.3</v>
      </c>
      <c r="J9" s="8" t="n">
        <v>31.7</v>
      </c>
      <c r="K9" s="8" t="n">
        <v>27.4</v>
      </c>
      <c r="L9" s="8" t="n">
        <v>19.5</v>
      </c>
      <c r="M9" s="8" t="n">
        <v>12.3</v>
      </c>
      <c r="N9" s="9">
        <f>MAX(B9:M9)</f>
        <v/>
      </c>
    </row>
    <row r="10">
      <c r="A10" s="7" t="inlineStr">
        <is>
          <t>Apsolutni minimum</t>
        </is>
      </c>
      <c r="B10" s="8" t="n">
        <v>-6.3</v>
      </c>
      <c r="C10" s="8" t="n">
        <v>-16.9</v>
      </c>
      <c r="D10" s="8" t="n">
        <v>-2.7</v>
      </c>
      <c r="E10" s="8" t="n">
        <v>-2.9</v>
      </c>
      <c r="F10" s="8" t="n">
        <v>4</v>
      </c>
      <c r="G10" s="8" t="n">
        <v>9.6</v>
      </c>
      <c r="H10" s="8" t="n">
        <v>14.8</v>
      </c>
      <c r="I10" s="8" t="n">
        <v>13.3</v>
      </c>
      <c r="J10" s="8" t="n">
        <v>5.9</v>
      </c>
      <c r="K10" s="8" t="n">
        <v>2.2</v>
      </c>
      <c r="L10" s="8" t="n">
        <v>1.3</v>
      </c>
      <c r="M10" s="8" t="n">
        <v>-9.4</v>
      </c>
      <c r="N10" s="9">
        <f>MIN(B10:M10)</f>
        <v/>
      </c>
    </row>
    <row r="11">
      <c r="A11" s="7" t="inlineStr">
        <is>
          <t>Sr. br. mraznih dana</t>
        </is>
      </c>
      <c r="B11" s="10" t="n">
        <v>25</v>
      </c>
      <c r="C11" s="10" t="n">
        <v>28</v>
      </c>
      <c r="D11" s="10" t="n">
        <v>13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19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13</v>
      </c>
      <c r="H12" s="10" t="n">
        <v>27</v>
      </c>
      <c r="I12" s="10" t="n">
        <v>26</v>
      </c>
      <c r="J12" s="10" t="n">
        <v>8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70.90000000000001</v>
      </c>
      <c r="C14" s="8" t="n">
        <v>72.40000000000001</v>
      </c>
      <c r="D14" s="8" t="n">
        <v>64.7</v>
      </c>
      <c r="E14" s="8" t="n">
        <v>77.7</v>
      </c>
      <c r="F14" s="8" t="n">
        <v>71</v>
      </c>
      <c r="G14" s="8" t="n">
        <v>60</v>
      </c>
      <c r="H14" s="8" t="n">
        <v>49.6</v>
      </c>
      <c r="I14" s="8" t="n">
        <v>43.5</v>
      </c>
      <c r="J14" s="8" t="n">
        <v>62.3</v>
      </c>
      <c r="K14" s="8" t="n">
        <v>78.5</v>
      </c>
      <c r="L14" s="8" t="n">
        <v>84.2</v>
      </c>
      <c r="M14" s="8" t="n">
        <v>78.2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218.4</v>
      </c>
      <c r="C16" s="8" t="n">
        <v>192.1</v>
      </c>
      <c r="D16" s="8" t="n">
        <v>353.9</v>
      </c>
      <c r="E16" s="8" t="n">
        <v>263.3</v>
      </c>
      <c r="F16" s="8" t="n">
        <v>391.4</v>
      </c>
      <c r="G16" s="8" t="n">
        <v>422.2</v>
      </c>
      <c r="H16" s="8" t="n">
        <v>427.1</v>
      </c>
      <c r="I16" s="8" t="n">
        <v>415.8</v>
      </c>
      <c r="J16" s="8" t="n">
        <v>318.4</v>
      </c>
      <c r="K16" s="8" t="n">
        <v>273.1</v>
      </c>
      <c r="L16" s="8" t="n">
        <v>201.5</v>
      </c>
      <c r="M16" s="8" t="n">
        <v>174.4</v>
      </c>
      <c r="N16" s="9">
        <f>SUM(B16:M16)</f>
        <v/>
      </c>
    </row>
    <row r="17">
      <c r="A17" s="7" t="inlineStr">
        <is>
          <t>Broj vedrih dana</t>
        </is>
      </c>
      <c r="B17" s="10" t="n">
        <v>10</v>
      </c>
      <c r="C17" s="10" t="n">
        <v>3</v>
      </c>
      <c r="D17" s="10" t="n">
        <v>14</v>
      </c>
      <c r="E17" s="10" t="n">
        <v>7</v>
      </c>
      <c r="F17" s="10" t="n">
        <v>11</v>
      </c>
      <c r="G17" s="10" t="n">
        <v>19</v>
      </c>
      <c r="H17" s="10" t="n">
        <v>25</v>
      </c>
      <c r="I17" s="10" t="n">
        <v>24</v>
      </c>
      <c r="J17" s="10" t="n">
        <v>12</v>
      </c>
      <c r="K17" s="10" t="n">
        <v>10</v>
      </c>
      <c r="L17" s="10" t="n">
        <v>1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7</v>
      </c>
      <c r="C18" s="10" t="n">
        <v>10</v>
      </c>
      <c r="D18" s="10" t="n">
        <v>1</v>
      </c>
      <c r="E18" s="10" t="n">
        <v>13</v>
      </c>
      <c r="F18" s="10" t="n">
        <v>4</v>
      </c>
      <c r="G18" s="10" t="n">
        <v>1</v>
      </c>
      <c r="H18" s="10" t="n">
        <v>2</v>
      </c>
      <c r="I18" s="10" t="n">
        <v>0</v>
      </c>
      <c r="J18" s="10" t="n">
        <v>2</v>
      </c>
      <c r="K18" s="10" t="n">
        <v>6</v>
      </c>
      <c r="L18" s="10" t="n">
        <v>10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54</v>
      </c>
      <c r="C20" s="8" t="n">
        <v>171.1</v>
      </c>
      <c r="D20" s="8" t="n">
        <v>4.8</v>
      </c>
      <c r="E20" s="8" t="n">
        <v>245.4</v>
      </c>
      <c r="F20" s="8" t="n">
        <v>119</v>
      </c>
      <c r="G20" s="8" t="n">
        <v>18.5</v>
      </c>
      <c r="H20" s="8" t="n">
        <v>17.5</v>
      </c>
      <c r="I20" s="8" t="n">
        <v>0.9</v>
      </c>
      <c r="J20" s="8" t="n">
        <v>107.2</v>
      </c>
      <c r="K20" s="8" t="n">
        <v>252.2</v>
      </c>
      <c r="L20" s="8" t="n">
        <v>197.1</v>
      </c>
      <c r="M20" s="8" t="n">
        <v>194.2</v>
      </c>
      <c r="N20" s="9">
        <f>SUM(B20:M20)</f>
        <v/>
      </c>
    </row>
    <row r="21">
      <c r="A21" s="7" t="inlineStr">
        <is>
          <t>Max. dnevna suma</t>
        </is>
      </c>
      <c r="B21" s="8" t="n">
        <v>12.8</v>
      </c>
      <c r="C21" s="8" t="n">
        <v>41.4</v>
      </c>
      <c r="D21" s="8" t="n">
        <v>2.5</v>
      </c>
      <c r="E21" s="8" t="n">
        <v>25</v>
      </c>
      <c r="F21" s="8" t="n">
        <v>32.1</v>
      </c>
      <c r="G21" s="8" t="n">
        <v>18.3</v>
      </c>
      <c r="H21" s="8" t="n">
        <v>12.6</v>
      </c>
      <c r="I21" s="8" t="n">
        <v>0.6</v>
      </c>
      <c r="J21" s="8" t="n">
        <v>32.6</v>
      </c>
      <c r="K21" s="8" t="n">
        <v>59.6</v>
      </c>
      <c r="L21" s="8" t="n">
        <v>50.4</v>
      </c>
      <c r="M21" s="8" t="n">
        <v>49.6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17</v>
      </c>
      <c r="D22" s="10" t="n">
        <v>8</v>
      </c>
      <c r="E22" s="10" t="n">
        <v>23</v>
      </c>
      <c r="F22" s="10" t="n">
        <v>18</v>
      </c>
      <c r="G22" s="10" t="n">
        <v>3</v>
      </c>
      <c r="H22" s="10" t="n">
        <v>8</v>
      </c>
      <c r="I22" s="10" t="n">
        <v>2</v>
      </c>
      <c r="J22" s="10" t="n">
        <v>10</v>
      </c>
      <c r="K22" s="10" t="n">
        <v>15</v>
      </c>
      <c r="L22" s="10" t="n">
        <v>15</v>
      </c>
      <c r="M22" s="10" t="n">
        <v>19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6</v>
      </c>
      <c r="D23" s="10" t="n">
        <v>0</v>
      </c>
      <c r="E23" s="10" t="n">
        <v>11</v>
      </c>
      <c r="F23" s="10" t="n">
        <v>5</v>
      </c>
      <c r="G23" s="10" t="n">
        <v>1</v>
      </c>
      <c r="H23" s="10" t="n">
        <v>1</v>
      </c>
      <c r="I23" s="10" t="n">
        <v>0</v>
      </c>
      <c r="J23" s="10" t="n">
        <v>3</v>
      </c>
      <c r="K23" s="10" t="n">
        <v>9</v>
      </c>
      <c r="L23" s="10" t="n">
        <v>5</v>
      </c>
      <c r="M23" s="10" t="n">
        <v>6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12</v>
      </c>
      <c r="D25" s="10" t="n">
        <v>0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5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12</v>
      </c>
      <c r="D26" s="10" t="n">
        <v>0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5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2013.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</v>
      </c>
      <c r="C6" s="8" t="n">
        <v>4.7</v>
      </c>
      <c r="D6" s="8" t="n">
        <v>7.3</v>
      </c>
      <c r="E6" s="8" t="n">
        <v>12.8</v>
      </c>
      <c r="F6" s="8" t="n">
        <v>16.1</v>
      </c>
      <c r="G6" s="8" t="n">
        <v>19.7</v>
      </c>
      <c r="H6" s="8" t="n">
        <v>24</v>
      </c>
      <c r="I6" s="8" t="n">
        <v>24.9</v>
      </c>
      <c r="J6" s="8" t="n">
        <v>17.5</v>
      </c>
      <c r="K6" s="8" t="n">
        <v>13.8</v>
      </c>
      <c r="L6" s="8" t="n">
        <v>9.800000000000001</v>
      </c>
      <c r="M6" s="8" t="n">
        <v>3.3</v>
      </c>
      <c r="N6" s="9">
        <f>AVERAGE(B6:M6)</f>
        <v/>
      </c>
    </row>
    <row r="7">
      <c r="A7" s="7" t="inlineStr">
        <is>
          <t>Srednja maksimalna</t>
        </is>
      </c>
      <c r="B7" s="8" t="n">
        <v>8.699999999999999</v>
      </c>
      <c r="C7" s="8" t="n">
        <v>9.800000000000001</v>
      </c>
      <c r="D7" s="8" t="n">
        <v>12</v>
      </c>
      <c r="E7" s="8" t="n">
        <v>18.6</v>
      </c>
      <c r="F7" s="8" t="n">
        <v>21</v>
      </c>
      <c r="G7" s="8" t="n">
        <v>25</v>
      </c>
      <c r="H7" s="8" t="n">
        <v>30.3</v>
      </c>
      <c r="I7" s="8" t="n">
        <v>31.2</v>
      </c>
      <c r="J7" s="8" t="n">
        <v>23.3</v>
      </c>
      <c r="K7" s="8" t="n">
        <v>19.4</v>
      </c>
      <c r="L7" s="8" t="n">
        <v>14.4</v>
      </c>
      <c r="M7" s="8" t="n">
        <v>9.9</v>
      </c>
      <c r="N7" s="9">
        <f>AVERAGE(B7:M7)</f>
        <v/>
      </c>
    </row>
    <row r="8">
      <c r="A8" s="7" t="inlineStr">
        <is>
          <t>Srednja minimalna</t>
        </is>
      </c>
      <c r="B8" s="8" t="n">
        <v>-0.4</v>
      </c>
      <c r="C8" s="8" t="n">
        <v>-0.2</v>
      </c>
      <c r="D8" s="8" t="n">
        <v>2.3</v>
      </c>
      <c r="E8" s="8" t="n">
        <v>6.2</v>
      </c>
      <c r="F8" s="8" t="n">
        <v>10.1</v>
      </c>
      <c r="G8" s="8" t="n">
        <v>12.7</v>
      </c>
      <c r="H8" s="8" t="n">
        <v>16</v>
      </c>
      <c r="I8" s="8" t="n">
        <v>17.4</v>
      </c>
      <c r="J8" s="8" t="n">
        <v>11.6</v>
      </c>
      <c r="K8" s="8" t="n">
        <v>8.9</v>
      </c>
      <c r="L8" s="8" t="n">
        <v>5.7</v>
      </c>
      <c r="M8" s="8" t="n">
        <v>-1.4</v>
      </c>
      <c r="N8" s="9">
        <f>AVERAGE(B8:M8)</f>
        <v/>
      </c>
    </row>
    <row r="9">
      <c r="A9" s="7" t="inlineStr">
        <is>
          <t>Apsolutni maksimum</t>
        </is>
      </c>
      <c r="B9" s="8" t="n">
        <v>12.5</v>
      </c>
      <c r="C9" s="8" t="n">
        <v>12.5</v>
      </c>
      <c r="D9" s="8" t="n">
        <v>16.8</v>
      </c>
      <c r="E9" s="8" t="n">
        <v>26.1</v>
      </c>
      <c r="F9" s="8" t="n">
        <v>28.2</v>
      </c>
      <c r="G9" s="8" t="n">
        <v>33.5</v>
      </c>
      <c r="H9" s="8" t="n">
        <v>36.4</v>
      </c>
      <c r="I9" s="8" t="n">
        <v>37.1</v>
      </c>
      <c r="J9" s="8" t="n">
        <v>28.1</v>
      </c>
      <c r="K9" s="8" t="n">
        <v>23</v>
      </c>
      <c r="L9" s="8" t="n">
        <v>20.6</v>
      </c>
      <c r="M9" s="8" t="n">
        <v>13.6</v>
      </c>
      <c r="N9" s="9">
        <f>MAX(B9:M9)</f>
        <v/>
      </c>
    </row>
    <row r="10">
      <c r="A10" s="7" t="inlineStr">
        <is>
          <t>Apsolutni minimum</t>
        </is>
      </c>
      <c r="B10" s="8" t="n">
        <v>-5.5</v>
      </c>
      <c r="C10" s="8" t="n">
        <v>-5.5</v>
      </c>
      <c r="D10" s="8" t="n">
        <v>-4.5</v>
      </c>
      <c r="E10" s="8" t="n">
        <v>2.1</v>
      </c>
      <c r="F10" s="8" t="n">
        <v>5.3</v>
      </c>
      <c r="G10" s="8" t="n">
        <v>8.1</v>
      </c>
      <c r="H10" s="8" t="n">
        <v>10.8</v>
      </c>
      <c r="I10" s="8" t="n">
        <v>12.2</v>
      </c>
      <c r="J10" s="8" t="n">
        <v>6.4</v>
      </c>
      <c r="K10" s="8" t="n">
        <v>0.7</v>
      </c>
      <c r="L10" s="8" t="n">
        <v>-3.8</v>
      </c>
      <c r="M10" s="8" t="n">
        <v>-4.7</v>
      </c>
      <c r="N10" s="9">
        <f>MIN(B10:M10)</f>
        <v/>
      </c>
    </row>
    <row r="11">
      <c r="A11" s="7" t="inlineStr">
        <is>
          <t>Sr. br. mraznih dana</t>
        </is>
      </c>
      <c r="B11" s="10" t="n">
        <v>21</v>
      </c>
      <c r="C11" s="10" t="n">
        <v>15</v>
      </c>
      <c r="D11" s="10" t="n">
        <v>10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4</v>
      </c>
      <c r="M11" s="10" t="n">
        <v>23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13</v>
      </c>
      <c r="I12" s="10" t="n">
        <v>22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80.3</v>
      </c>
      <c r="C14" s="8" t="n">
        <v>79</v>
      </c>
      <c r="D14" s="8" t="n">
        <v>76.7</v>
      </c>
      <c r="E14" s="8" t="n">
        <v>71.8</v>
      </c>
      <c r="F14" s="8" t="n">
        <v>73.8</v>
      </c>
      <c r="G14" s="8" t="n">
        <v>69.40000000000001</v>
      </c>
      <c r="H14" s="8" t="n">
        <v>54.9</v>
      </c>
      <c r="I14" s="8" t="n">
        <v>54.4</v>
      </c>
      <c r="J14" s="8" t="n">
        <v>73.59999999999999</v>
      </c>
      <c r="K14" s="8" t="n">
        <v>80.3</v>
      </c>
      <c r="L14" s="8" t="n">
        <v>80.2</v>
      </c>
      <c r="M14" s="8" t="n">
        <v>80.5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181.8</v>
      </c>
      <c r="C16" s="8" t="n">
        <v>206.2</v>
      </c>
      <c r="D16" s="8" t="n">
        <v>247.8</v>
      </c>
      <c r="E16" s="8" t="n">
        <v>336.9</v>
      </c>
      <c r="F16" s="8" t="n">
        <v>374.2</v>
      </c>
      <c r="G16" s="8" t="n">
        <v>409.5</v>
      </c>
      <c r="H16" s="8" t="n">
        <v>426.9</v>
      </c>
      <c r="I16" s="8" t="n">
        <v>397</v>
      </c>
      <c r="J16" s="8" t="n">
        <v>317.6</v>
      </c>
      <c r="K16" s="8" t="n">
        <v>265.6</v>
      </c>
      <c r="L16" s="8" t="n">
        <v>199.2</v>
      </c>
      <c r="M16" s="8" t="n">
        <v>219</v>
      </c>
      <c r="N16" s="9">
        <f>SUM(B16:M16)</f>
        <v/>
      </c>
    </row>
    <row r="17">
      <c r="A17" s="7" t="inlineStr">
        <is>
          <t>Broj vedrih dana</t>
        </is>
      </c>
      <c r="B17" s="10" t="n">
        <v>4</v>
      </c>
      <c r="C17" s="10" t="n">
        <v>0</v>
      </c>
      <c r="D17" s="10" t="n">
        <v>4</v>
      </c>
      <c r="E17" s="10" t="n">
        <v>9</v>
      </c>
      <c r="F17" s="10" t="n">
        <v>6</v>
      </c>
      <c r="G17" s="10" t="n">
        <v>12</v>
      </c>
      <c r="H17" s="10" t="n">
        <v>17</v>
      </c>
      <c r="I17" s="10" t="n">
        <v>19</v>
      </c>
      <c r="J17" s="10" t="n">
        <v>12</v>
      </c>
      <c r="K17" s="10" t="n">
        <v>10</v>
      </c>
      <c r="L17" s="10" t="n">
        <v>6</v>
      </c>
      <c r="M17" s="10" t="n">
        <v>14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14</v>
      </c>
      <c r="D18" s="10" t="n">
        <v>18</v>
      </c>
      <c r="E18" s="10" t="n">
        <v>4</v>
      </c>
      <c r="F18" s="10" t="n">
        <v>6</v>
      </c>
      <c r="G18" s="10" t="n">
        <v>1</v>
      </c>
      <c r="H18" s="10" t="n">
        <v>0</v>
      </c>
      <c r="I18" s="10" t="n">
        <v>1</v>
      </c>
      <c r="J18" s="10" t="n">
        <v>5</v>
      </c>
      <c r="K18" s="10" t="n">
        <v>8</v>
      </c>
      <c r="L18" s="10" t="n">
        <v>11</v>
      </c>
      <c r="M18" s="10" t="n">
        <v>5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216</v>
      </c>
      <c r="C20" s="8" t="n">
        <v>261.6</v>
      </c>
      <c r="D20" s="8" t="n">
        <v>342.3</v>
      </c>
      <c r="E20" s="8" t="n">
        <v>167.2</v>
      </c>
      <c r="F20" s="8" t="n">
        <v>204.5</v>
      </c>
      <c r="G20" s="8" t="n">
        <v>64.09999999999999</v>
      </c>
      <c r="H20" s="8" t="n">
        <v>22.3</v>
      </c>
      <c r="I20" s="8" t="n">
        <v>108.8</v>
      </c>
      <c r="J20" s="8" t="n">
        <v>203.1</v>
      </c>
      <c r="K20" s="8" t="n">
        <v>184.2</v>
      </c>
      <c r="L20" s="8" t="n">
        <v>227.3</v>
      </c>
      <c r="M20" s="8" t="n">
        <v>59.4</v>
      </c>
      <c r="N20" s="9">
        <f>SUM(B20:M20)</f>
        <v/>
      </c>
    </row>
    <row r="21">
      <c r="A21" s="7" t="inlineStr">
        <is>
          <t>Max. dnevna suma</t>
        </is>
      </c>
      <c r="B21" s="8" t="n">
        <v>38.5</v>
      </c>
      <c r="C21" s="8" t="n">
        <v>73.2</v>
      </c>
      <c r="D21" s="8" t="n">
        <v>48.7</v>
      </c>
      <c r="E21" s="8" t="n">
        <v>57.3</v>
      </c>
      <c r="F21" s="8" t="n">
        <v>45.9</v>
      </c>
      <c r="G21" s="8" t="n">
        <v>19.6</v>
      </c>
      <c r="H21" s="8" t="n">
        <v>5.5</v>
      </c>
      <c r="I21" s="8" t="n">
        <v>36.4</v>
      </c>
      <c r="J21" s="8" t="n">
        <v>70.3</v>
      </c>
      <c r="K21" s="8" t="n">
        <v>44.9</v>
      </c>
      <c r="L21" s="8" t="n">
        <v>59.4</v>
      </c>
      <c r="M21" s="8" t="n">
        <v>24.8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17</v>
      </c>
      <c r="C22" s="10" t="n">
        <v>21</v>
      </c>
      <c r="D22" s="10" t="n">
        <v>20</v>
      </c>
      <c r="E22" s="10" t="n">
        <v>13</v>
      </c>
      <c r="F22" s="10" t="n">
        <v>22</v>
      </c>
      <c r="G22" s="10" t="n">
        <v>14</v>
      </c>
      <c r="H22" s="10" t="n">
        <v>10</v>
      </c>
      <c r="I22" s="10" t="n">
        <v>9</v>
      </c>
      <c r="J22" s="10" t="n">
        <v>10</v>
      </c>
      <c r="K22" s="10" t="n">
        <v>13</v>
      </c>
      <c r="L22" s="10" t="n">
        <v>18</v>
      </c>
      <c r="M22" s="10" t="n">
        <v>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10</v>
      </c>
      <c r="C23" s="10" t="n">
        <v>8</v>
      </c>
      <c r="D23" s="10" t="n">
        <v>15</v>
      </c>
      <c r="E23" s="10" t="n">
        <v>6</v>
      </c>
      <c r="F23" s="10" t="n">
        <v>9</v>
      </c>
      <c r="G23" s="10" t="n">
        <v>2</v>
      </c>
      <c r="H23" s="10" t="n">
        <v>0</v>
      </c>
      <c r="I23" s="10" t="n">
        <v>3</v>
      </c>
      <c r="J23" s="10" t="n">
        <v>6</v>
      </c>
      <c r="K23" s="10" t="n">
        <v>6</v>
      </c>
      <c r="L23" s="10" t="n">
        <v>9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4</v>
      </c>
      <c r="D25" s="10" t="n">
        <v>2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4</v>
      </c>
      <c r="D26" s="10" t="n">
        <v>2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2014.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6.6</v>
      </c>
      <c r="C6" s="8" t="n">
        <v>7.9</v>
      </c>
      <c r="D6" s="8" t="n">
        <v>8.5</v>
      </c>
      <c r="E6" s="8" t="n">
        <v>11.8</v>
      </c>
      <c r="F6" s="8" t="n">
        <v>14.8</v>
      </c>
      <c r="G6" s="8" t="n">
        <v>20</v>
      </c>
      <c r="H6" s="8" t="n">
        <v>21.2</v>
      </c>
      <c r="I6" s="8" t="n">
        <v>22</v>
      </c>
      <c r="J6" s="8" t="n">
        <v>17.2</v>
      </c>
      <c r="K6" s="8" t="n">
        <v>13.5</v>
      </c>
      <c r="L6" s="8" t="n">
        <v>10.3</v>
      </c>
      <c r="M6" s="8" t="n">
        <v>5.3</v>
      </c>
      <c r="N6" s="9">
        <f>AVERAGE(B6:M6)</f>
        <v/>
      </c>
    </row>
    <row r="7">
      <c r="A7" s="7" t="inlineStr">
        <is>
          <t>Srednja maksimalna</t>
        </is>
      </c>
      <c r="B7" s="8" t="n">
        <v>10.5</v>
      </c>
      <c r="C7" s="8" t="n">
        <v>12.2</v>
      </c>
      <c r="D7" s="8" t="n">
        <v>14.8</v>
      </c>
      <c r="E7" s="8" t="n">
        <v>17.1</v>
      </c>
      <c r="F7" s="8" t="n">
        <v>19.9</v>
      </c>
      <c r="G7" s="8" t="n">
        <v>25.6</v>
      </c>
      <c r="H7" s="8" t="n">
        <v>26.4</v>
      </c>
      <c r="I7" s="8" t="n">
        <v>27.7</v>
      </c>
      <c r="J7" s="8" t="n">
        <v>22</v>
      </c>
      <c r="K7" s="8" t="n">
        <v>19.3</v>
      </c>
      <c r="L7" s="8" t="n">
        <v>15.2</v>
      </c>
      <c r="M7" s="8" t="n">
        <v>9.6</v>
      </c>
      <c r="N7" s="9">
        <f>AVERAGE(B7:M7)</f>
        <v/>
      </c>
    </row>
    <row r="8">
      <c r="A8" s="7" t="inlineStr">
        <is>
          <t>Srednja minimalna</t>
        </is>
      </c>
      <c r="B8" s="8" t="n">
        <v>2.8</v>
      </c>
      <c r="C8" s="8" t="n">
        <v>3.6</v>
      </c>
      <c r="D8" s="8" t="n">
        <v>1.8</v>
      </c>
      <c r="E8" s="8" t="n">
        <v>6.4</v>
      </c>
      <c r="F8" s="8" t="n">
        <v>8.699999999999999</v>
      </c>
      <c r="G8" s="8" t="n">
        <v>13.2</v>
      </c>
      <c r="H8" s="8" t="n">
        <v>14.9</v>
      </c>
      <c r="I8" s="8" t="n">
        <v>15.3</v>
      </c>
      <c r="J8" s="8" t="n">
        <v>12.3</v>
      </c>
      <c r="K8" s="8" t="n">
        <v>7.9</v>
      </c>
      <c r="L8" s="8" t="n">
        <v>6.1</v>
      </c>
      <c r="M8" s="8" t="n">
        <v>1.5</v>
      </c>
      <c r="N8" s="9">
        <f>AVERAGE(B8:M8)</f>
        <v/>
      </c>
    </row>
    <row r="9">
      <c r="A9" s="7" t="inlineStr">
        <is>
          <t>Apsolutni maksimum</t>
        </is>
      </c>
      <c r="B9" s="8" t="n">
        <v>13.5</v>
      </c>
      <c r="C9" s="8" t="n">
        <v>15.5</v>
      </c>
      <c r="D9" s="8" t="n">
        <v>19.5</v>
      </c>
      <c r="E9" s="8" t="n">
        <v>21.3</v>
      </c>
      <c r="F9" s="8" t="n">
        <v>25.7</v>
      </c>
      <c r="G9" s="8" t="n">
        <v>32.4</v>
      </c>
      <c r="H9" s="8" t="n">
        <v>31</v>
      </c>
      <c r="I9" s="8" t="n">
        <v>31.8</v>
      </c>
      <c r="J9" s="8" t="n">
        <v>25.2</v>
      </c>
      <c r="K9" s="8" t="n">
        <v>23.5</v>
      </c>
      <c r="L9" s="8" t="n">
        <v>18.5</v>
      </c>
      <c r="M9" s="8" t="n">
        <v>15.6</v>
      </c>
      <c r="N9" s="9">
        <f>MAX(B9:M9)</f>
        <v/>
      </c>
    </row>
    <row r="10">
      <c r="A10" s="7" t="inlineStr">
        <is>
          <t>Apsolutni minimum</t>
        </is>
      </c>
      <c r="B10" s="8" t="n">
        <v>-5.6</v>
      </c>
      <c r="C10" s="8" t="n">
        <v>-2.5</v>
      </c>
      <c r="D10" s="8" t="n">
        <v>-1.1</v>
      </c>
      <c r="E10" s="8" t="n">
        <v>1.2</v>
      </c>
      <c r="F10" s="8" t="n">
        <v>2.7</v>
      </c>
      <c r="G10" s="8" t="n">
        <v>8</v>
      </c>
      <c r="H10" s="8" t="n">
        <v>11.1</v>
      </c>
      <c r="I10" s="8" t="n">
        <v>11.5</v>
      </c>
      <c r="J10" s="8" t="n">
        <v>4.9</v>
      </c>
      <c r="K10" s="8" t="n">
        <v>1.4</v>
      </c>
      <c r="L10" s="8" t="n">
        <v>-1.4</v>
      </c>
      <c r="M10" s="8" t="n">
        <v>-10.5</v>
      </c>
      <c r="N10" s="9">
        <f>MIN(B10:M10)</f>
        <v/>
      </c>
    </row>
    <row r="11">
      <c r="A11" s="7" t="inlineStr">
        <is>
          <t>Sr. br. mraznih dana</t>
        </is>
      </c>
      <c r="B11" s="10" t="n">
        <v>6</v>
      </c>
      <c r="C11" s="10" t="n">
        <v>7</v>
      </c>
      <c r="D11" s="10" t="n">
        <v>8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12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5</v>
      </c>
      <c r="H12" s="10" t="n">
        <v>1</v>
      </c>
      <c r="I12" s="10" t="n">
        <v>4</v>
      </c>
      <c r="J12" s="10" t="n">
        <v>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86.59999999999999</v>
      </c>
      <c r="C14" s="8" t="n">
        <v>83.2</v>
      </c>
      <c r="D14" s="8" t="n">
        <v>74.09999999999999</v>
      </c>
      <c r="E14" s="8" t="n">
        <v>75.59999999999999</v>
      </c>
      <c r="F14" s="8" t="n">
        <v>72.59999999999999</v>
      </c>
      <c r="G14" s="8" t="n">
        <v>68.5</v>
      </c>
      <c r="H14" s="8" t="n">
        <v>72.3</v>
      </c>
      <c r="I14" s="8" t="n">
        <v>68.59999999999999</v>
      </c>
      <c r="J14" s="8" t="n">
        <v>78.59999999999999</v>
      </c>
      <c r="K14" s="8" t="n">
        <v>79</v>
      </c>
      <c r="L14" s="8" t="n">
        <v>84.59999999999999</v>
      </c>
      <c r="M14" s="8" t="n">
        <v>80.5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152.4</v>
      </c>
      <c r="C16" s="8" t="n">
        <v>170.4</v>
      </c>
      <c r="D16" s="8" t="n">
        <v>294.3</v>
      </c>
      <c r="E16" s="8" t="n">
        <v>313.5</v>
      </c>
      <c r="F16" s="8" t="n">
        <v>361.7</v>
      </c>
      <c r="G16" s="8" t="n">
        <v>390.8</v>
      </c>
      <c r="H16" s="8" t="n">
        <v>406.1</v>
      </c>
      <c r="I16" s="8" t="n">
        <v>411</v>
      </c>
      <c r="J16" s="8" t="n">
        <v>298.8</v>
      </c>
      <c r="K16" s="8" t="n">
        <v>299</v>
      </c>
      <c r="L16" s="8" t="n">
        <v>180</v>
      </c>
      <c r="M16" s="8" t="n">
        <v>185.6</v>
      </c>
      <c r="N16" s="9">
        <f>SUM(B16:M16)</f>
        <v/>
      </c>
    </row>
    <row r="17">
      <c r="A17" s="7" t="inlineStr">
        <is>
          <t>Broj vedrih dana</t>
        </is>
      </c>
      <c r="B17" s="10" t="n">
        <v>0</v>
      </c>
      <c r="C17" s="10" t="n">
        <v>2</v>
      </c>
      <c r="D17" s="10" t="n">
        <v>12</v>
      </c>
      <c r="E17" s="10" t="n">
        <v>1</v>
      </c>
      <c r="F17" s="10" t="n">
        <v>6</v>
      </c>
      <c r="G17" s="10" t="n">
        <v>9</v>
      </c>
      <c r="H17" s="10" t="n">
        <v>9</v>
      </c>
      <c r="I17" s="10" t="n">
        <v>13</v>
      </c>
      <c r="J17" s="10" t="n">
        <v>11</v>
      </c>
      <c r="K17" s="10" t="n">
        <v>10</v>
      </c>
      <c r="L17" s="10" t="n">
        <v>7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17</v>
      </c>
      <c r="C18" s="10" t="n">
        <v>15</v>
      </c>
      <c r="D18" s="10" t="n">
        <v>7</v>
      </c>
      <c r="E18" s="10" t="n">
        <v>12</v>
      </c>
      <c r="F18" s="10" t="n">
        <v>8</v>
      </c>
      <c r="G18" s="10" t="n">
        <v>5</v>
      </c>
      <c r="H18" s="10" t="n">
        <v>2</v>
      </c>
      <c r="I18" s="10" t="n">
        <v>0</v>
      </c>
      <c r="J18" s="10" t="n">
        <v>10</v>
      </c>
      <c r="K18" s="10" t="n">
        <v>4</v>
      </c>
      <c r="L18" s="10" t="n">
        <v>14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255.3</v>
      </c>
      <c r="C20" s="8" t="n">
        <v>187.7</v>
      </c>
      <c r="D20" s="8" t="n">
        <v>81.3</v>
      </c>
      <c r="E20" s="8" t="n">
        <v>115.6</v>
      </c>
      <c r="F20" s="8" t="n">
        <v>84.59999999999999</v>
      </c>
      <c r="G20" s="8" t="n">
        <v>218.1</v>
      </c>
      <c r="H20" s="8" t="n">
        <v>127.4</v>
      </c>
      <c r="I20" s="8" t="n">
        <v>47.6</v>
      </c>
      <c r="J20" s="8" t="n">
        <v>273</v>
      </c>
      <c r="K20" s="8" t="n">
        <v>68.5</v>
      </c>
      <c r="L20" s="8" t="n">
        <v>225.1</v>
      </c>
      <c r="M20" s="8" t="n">
        <v>221</v>
      </c>
      <c r="N20" s="9">
        <f>SUM(B20:M20)</f>
        <v/>
      </c>
    </row>
    <row r="21">
      <c r="A21" s="7" t="inlineStr">
        <is>
          <t>Max. dnevna suma</t>
        </is>
      </c>
      <c r="B21" s="8" t="n">
        <v>45.6</v>
      </c>
      <c r="C21" s="8" t="n">
        <v>23.9</v>
      </c>
      <c r="D21" s="8" t="n">
        <v>21.6</v>
      </c>
      <c r="E21" s="8" t="n">
        <v>19</v>
      </c>
      <c r="F21" s="8" t="n">
        <v>32.4</v>
      </c>
      <c r="G21" s="8" t="n">
        <v>63.6</v>
      </c>
      <c r="H21" s="8" t="n">
        <v>34.3</v>
      </c>
      <c r="I21" s="8" t="n">
        <v>13.4</v>
      </c>
      <c r="J21" s="8" t="n">
        <v>50</v>
      </c>
      <c r="K21" s="8" t="n">
        <v>35.1</v>
      </c>
      <c r="L21" s="8" t="n">
        <v>38.7</v>
      </c>
      <c r="M21" s="8" t="n">
        <v>62.9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20</v>
      </c>
      <c r="C22" s="10" t="n">
        <v>19</v>
      </c>
      <c r="D22" s="10" t="n">
        <v>11</v>
      </c>
      <c r="E22" s="10" t="n">
        <v>23</v>
      </c>
      <c r="F22" s="10" t="n">
        <v>20</v>
      </c>
      <c r="G22" s="10" t="n">
        <v>17</v>
      </c>
      <c r="H22" s="10" t="n">
        <v>20</v>
      </c>
      <c r="I22" s="10" t="n">
        <v>10</v>
      </c>
      <c r="J22" s="10" t="n">
        <v>19</v>
      </c>
      <c r="K22" s="10" t="n">
        <v>12</v>
      </c>
      <c r="L22" s="10" t="n">
        <v>17</v>
      </c>
      <c r="M22" s="10" t="n">
        <v>14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8</v>
      </c>
      <c r="D23" s="10" t="n">
        <v>3</v>
      </c>
      <c r="E23" s="10" t="n">
        <v>4</v>
      </c>
      <c r="F23" s="10" t="n">
        <v>2</v>
      </c>
      <c r="G23" s="10" t="n">
        <v>7</v>
      </c>
      <c r="H23" s="10" t="n">
        <v>5</v>
      </c>
      <c r="I23" s="10" t="n">
        <v>2</v>
      </c>
      <c r="J23" s="10" t="n">
        <v>8</v>
      </c>
      <c r="K23" s="10" t="n">
        <v>1</v>
      </c>
      <c r="L23" s="10" t="n">
        <v>8</v>
      </c>
      <c r="M23" s="10" t="n">
        <v>8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4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4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2015.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3.6</v>
      </c>
      <c r="C6" s="8" t="n">
        <v>4.1</v>
      </c>
      <c r="D6" s="8" t="n">
        <v>7.1</v>
      </c>
      <c r="E6" s="8" t="n">
        <v>10.8</v>
      </c>
      <c r="F6" s="8" t="n">
        <v>17.4</v>
      </c>
      <c r="G6" s="8" t="n">
        <v>21.4</v>
      </c>
      <c r="H6" s="8" t="n">
        <v>27.3</v>
      </c>
      <c r="I6" s="8" t="n">
        <v>25.2</v>
      </c>
      <c r="J6" s="8" t="n">
        <v>20</v>
      </c>
      <c r="K6" s="8" t="n">
        <v>13.8</v>
      </c>
      <c r="L6" s="8" t="n">
        <v>8.6</v>
      </c>
      <c r="M6" s="8" t="n">
        <v>3.5</v>
      </c>
      <c r="N6" s="9">
        <f>AVERAGE(B6:M6)</f>
        <v/>
      </c>
    </row>
    <row r="7">
      <c r="A7" s="7" t="inlineStr">
        <is>
          <t>Srednja maksimalna</t>
        </is>
      </c>
      <c r="B7" s="8" t="n">
        <v>8.6</v>
      </c>
      <c r="C7" s="8" t="n">
        <v>9.699999999999999</v>
      </c>
      <c r="D7" s="8" t="n">
        <v>12.8</v>
      </c>
      <c r="E7" s="8" t="n">
        <v>16.6</v>
      </c>
      <c r="F7" s="8" t="n">
        <v>23</v>
      </c>
      <c r="G7" s="8" t="n">
        <v>27.4</v>
      </c>
      <c r="H7" s="8" t="n">
        <v>33.9</v>
      </c>
      <c r="I7" s="8" t="n">
        <v>31.4</v>
      </c>
      <c r="J7" s="8" t="n">
        <v>25.9</v>
      </c>
      <c r="K7" s="8" t="n">
        <v>18.5</v>
      </c>
      <c r="L7" s="8" t="n">
        <v>15.5</v>
      </c>
      <c r="M7" s="8" t="n">
        <v>11.7</v>
      </c>
      <c r="N7" s="9">
        <f>AVERAGE(B7:M7)</f>
        <v/>
      </c>
    </row>
    <row r="8">
      <c r="A8" s="7" t="inlineStr">
        <is>
          <t>Srednja minimalna</t>
        </is>
      </c>
      <c r="B8" s="8" t="n">
        <v>-0.6</v>
      </c>
      <c r="C8" s="8" t="n">
        <v>-1.1</v>
      </c>
      <c r="D8" s="8" t="n">
        <v>1.1</v>
      </c>
      <c r="E8" s="8" t="n">
        <v>4.1</v>
      </c>
      <c r="F8" s="8" t="n">
        <v>10.3</v>
      </c>
      <c r="G8" s="8" t="n">
        <v>13.9</v>
      </c>
      <c r="H8" s="8" t="n">
        <v>18.5</v>
      </c>
      <c r="I8" s="8" t="n">
        <v>17.9</v>
      </c>
      <c r="J8" s="8" t="n">
        <v>14</v>
      </c>
      <c r="K8" s="8" t="n">
        <v>9.4</v>
      </c>
      <c r="L8" s="8" t="n">
        <v>3.1</v>
      </c>
      <c r="M8" s="8" t="n">
        <v>-1.9</v>
      </c>
      <c r="N8" s="9">
        <f>AVERAGE(B8:M8)</f>
        <v/>
      </c>
    </row>
    <row r="9">
      <c r="A9" s="7" t="inlineStr">
        <is>
          <t>Apsolutni maksimum</t>
        </is>
      </c>
      <c r="B9" s="8" t="n">
        <v>11.9</v>
      </c>
      <c r="C9" s="8" t="n">
        <v>14.4</v>
      </c>
      <c r="D9" s="8" t="n">
        <v>20.2</v>
      </c>
      <c r="E9" s="8" t="n">
        <v>22.1</v>
      </c>
      <c r="F9" s="8" t="n">
        <v>29</v>
      </c>
      <c r="G9" s="8" t="n">
        <v>31</v>
      </c>
      <c r="H9" s="8" t="n">
        <v>38.1</v>
      </c>
      <c r="I9" s="8" t="n">
        <v>36.3</v>
      </c>
      <c r="J9" s="8" t="n">
        <v>34.5</v>
      </c>
      <c r="K9" s="8" t="n">
        <v>24</v>
      </c>
      <c r="L9" s="8" t="n">
        <v>22.2</v>
      </c>
      <c r="M9" s="8" t="n">
        <v>15.5</v>
      </c>
      <c r="N9" s="9">
        <f>MAX(B9:M9)</f>
        <v/>
      </c>
    </row>
    <row r="10">
      <c r="A10" s="7" t="inlineStr">
        <is>
          <t>Apsolutni minimum</t>
        </is>
      </c>
      <c r="B10" s="8" t="n">
        <v>-8.6</v>
      </c>
      <c r="C10" s="8" t="n">
        <v>-6</v>
      </c>
      <c r="D10" s="8" t="n">
        <v>-3.7</v>
      </c>
      <c r="E10" s="8" t="n">
        <v>-2.6</v>
      </c>
      <c r="F10" s="8" t="n">
        <v>4.9</v>
      </c>
      <c r="G10" s="8" t="n">
        <v>8.699999999999999</v>
      </c>
      <c r="H10" s="8" t="n">
        <v>12.9</v>
      </c>
      <c r="I10" s="8" t="n">
        <v>13.8</v>
      </c>
      <c r="J10" s="8" t="n">
        <v>9.4</v>
      </c>
      <c r="K10" s="8" t="n">
        <v>3</v>
      </c>
      <c r="L10" s="8" t="n">
        <v>-3.1</v>
      </c>
      <c r="M10" s="8" t="n">
        <v>-4.9</v>
      </c>
      <c r="N10" s="9">
        <f>MIN(B10:M10)</f>
        <v/>
      </c>
    </row>
    <row r="11">
      <c r="A11" s="7" t="inlineStr">
        <is>
          <t>Sr. br. mraznih dana</t>
        </is>
      </c>
      <c r="B11" s="10" t="n">
        <v>21</v>
      </c>
      <c r="C11" s="10" t="n">
        <v>18</v>
      </c>
      <c r="D11" s="10" t="n">
        <v>13</v>
      </c>
      <c r="E11" s="10" t="n">
        <v>3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26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9</v>
      </c>
      <c r="H12" s="10" t="n">
        <v>30</v>
      </c>
      <c r="I12" s="10" t="n">
        <v>21</v>
      </c>
      <c r="J12" s="10" t="n">
        <v>6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76.09999999999999</v>
      </c>
      <c r="C14" s="8" t="n">
        <v>74.40000000000001</v>
      </c>
      <c r="D14" s="8" t="n">
        <v>69.7</v>
      </c>
      <c r="E14" s="8" t="n">
        <v>63.5</v>
      </c>
      <c r="F14" s="8" t="n">
        <v>65.40000000000001</v>
      </c>
      <c r="G14" s="8" t="n">
        <v>57.5</v>
      </c>
      <c r="H14" s="8" t="n">
        <v>47.8</v>
      </c>
      <c r="I14" s="8" t="n">
        <v>57.8</v>
      </c>
      <c r="J14" s="8" t="n">
        <v>60.6</v>
      </c>
      <c r="K14" s="8" t="n">
        <v>79.2</v>
      </c>
      <c r="L14" s="8" t="n">
        <v>79.3</v>
      </c>
      <c r="M14" s="8" t="n">
        <v>81.5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201</v>
      </c>
      <c r="C16" s="8" t="n">
        <v>220.2</v>
      </c>
      <c r="D16" s="8" t="n">
        <v>282</v>
      </c>
      <c r="E16" s="8" t="n">
        <v>344.7</v>
      </c>
      <c r="F16" s="8" t="n">
        <v>384.2</v>
      </c>
      <c r="G16" s="8" t="n">
        <v>412.8</v>
      </c>
      <c r="H16" s="8" t="n">
        <v>435.9</v>
      </c>
      <c r="I16" s="8" t="n">
        <v>401.2</v>
      </c>
      <c r="J16" s="8" t="n">
        <v>333.4</v>
      </c>
      <c r="K16" s="8" t="n">
        <v>227.7</v>
      </c>
      <c r="L16" s="8" t="n">
        <v>236.5</v>
      </c>
      <c r="M16" s="8" t="n">
        <v>263.2</v>
      </c>
      <c r="N16" s="9">
        <f>SUM(B16:M16)</f>
        <v/>
      </c>
    </row>
    <row r="17">
      <c r="A17" s="7" t="inlineStr">
        <is>
          <t>Broj vedrih dana</t>
        </is>
      </c>
      <c r="B17" s="10" t="n">
        <v>7</v>
      </c>
      <c r="C17" s="10" t="n">
        <v>9</v>
      </c>
      <c r="D17" s="10" t="n">
        <v>4</v>
      </c>
      <c r="E17" s="10" t="n">
        <v>6</v>
      </c>
      <c r="F17" s="10" t="n">
        <v>5</v>
      </c>
      <c r="G17" s="10" t="n">
        <v>9</v>
      </c>
      <c r="H17" s="10" t="n">
        <v>23</v>
      </c>
      <c r="I17" s="10" t="n">
        <v>11</v>
      </c>
      <c r="J17" s="10" t="n">
        <v>11</v>
      </c>
      <c r="K17" s="10" t="n">
        <v>3</v>
      </c>
      <c r="L17" s="10" t="n">
        <v>13</v>
      </c>
      <c r="M17" s="10" t="n">
        <v>22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10</v>
      </c>
      <c r="D18" s="10" t="n">
        <v>6</v>
      </c>
      <c r="E18" s="10" t="n">
        <v>7</v>
      </c>
      <c r="F18" s="10" t="n">
        <v>7</v>
      </c>
      <c r="G18" s="10" t="n">
        <v>1</v>
      </c>
      <c r="H18" s="10" t="n">
        <v>0</v>
      </c>
      <c r="I18" s="10" t="n">
        <v>0</v>
      </c>
      <c r="J18" s="10" t="n">
        <v>3</v>
      </c>
      <c r="K18" s="10" t="n">
        <v>14</v>
      </c>
      <c r="L18" s="10" t="n">
        <v>4</v>
      </c>
      <c r="M18" s="10" t="n">
        <v>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204.7</v>
      </c>
      <c r="C20" s="8" t="n">
        <v>135.2</v>
      </c>
      <c r="D20" s="8" t="n">
        <v>119.6</v>
      </c>
      <c r="E20" s="8" t="n">
        <v>58.3</v>
      </c>
      <c r="F20" s="8" t="n">
        <v>45.6</v>
      </c>
      <c r="G20" s="8" t="n">
        <v>44.2</v>
      </c>
      <c r="H20" s="8" t="n">
        <v>8.1</v>
      </c>
      <c r="I20" s="8" t="n">
        <v>71.5</v>
      </c>
      <c r="J20" s="8" t="n">
        <v>57.1</v>
      </c>
      <c r="K20" s="8" t="n">
        <v>273.1</v>
      </c>
      <c r="L20" s="8" t="n">
        <v>77</v>
      </c>
      <c r="M20" s="8" t="n">
        <v>0</v>
      </c>
      <c r="N20" s="9">
        <f>SUM(B20:M20)</f>
        <v/>
      </c>
    </row>
    <row r="21">
      <c r="A21" s="7" t="inlineStr">
        <is>
          <t>Max. dnevna suma</t>
        </is>
      </c>
      <c r="B21" s="8" t="n">
        <v>61.3</v>
      </c>
      <c r="C21" s="8" t="n">
        <v>43.4</v>
      </c>
      <c r="D21" s="8" t="n">
        <v>72.2</v>
      </c>
      <c r="E21" s="8" t="n">
        <v>21.6</v>
      </c>
      <c r="F21" s="8" t="n">
        <v>17.4</v>
      </c>
      <c r="G21" s="8" t="n">
        <v>19.4</v>
      </c>
      <c r="H21" s="8" t="n">
        <v>3.3</v>
      </c>
      <c r="I21" s="8" t="n">
        <v>45.1</v>
      </c>
      <c r="J21" s="8" t="n">
        <v>29.7</v>
      </c>
      <c r="K21" s="8" t="n">
        <v>74.3</v>
      </c>
      <c r="L21" s="8" t="n">
        <v>32.3</v>
      </c>
      <c r="M21" s="8" t="n">
        <v>0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15</v>
      </c>
      <c r="C22" s="10" t="n">
        <v>15</v>
      </c>
      <c r="D22" s="10" t="n">
        <v>15</v>
      </c>
      <c r="E22" s="10" t="n">
        <v>15</v>
      </c>
      <c r="F22" s="10" t="n">
        <v>12</v>
      </c>
      <c r="G22" s="10" t="n">
        <v>12</v>
      </c>
      <c r="H22" s="10" t="n">
        <v>6</v>
      </c>
      <c r="I22" s="10" t="n">
        <v>17</v>
      </c>
      <c r="J22" s="10" t="n">
        <v>5</v>
      </c>
      <c r="K22" s="10" t="n">
        <v>20</v>
      </c>
      <c r="L22" s="10" t="n">
        <v>9</v>
      </c>
      <c r="M22" s="10" t="n">
        <v>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5</v>
      </c>
      <c r="C23" s="10" t="n">
        <v>5</v>
      </c>
      <c r="D23" s="10" t="n">
        <v>2</v>
      </c>
      <c r="E23" s="10" t="n">
        <v>2</v>
      </c>
      <c r="F23" s="10" t="n">
        <v>2</v>
      </c>
      <c r="G23" s="10" t="n">
        <v>1</v>
      </c>
      <c r="H23" s="10" t="n">
        <v>0</v>
      </c>
      <c r="I23" s="10" t="n">
        <v>2</v>
      </c>
      <c r="J23" s="10" t="n">
        <v>2</v>
      </c>
      <c r="K23" s="10" t="n">
        <v>7</v>
      </c>
      <c r="L23" s="10" t="n">
        <v>3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2</v>
      </c>
      <c r="D25" s="10" t="n">
        <v>2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2</v>
      </c>
      <c r="D26" s="10" t="n">
        <v>2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2016.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4.2</v>
      </c>
      <c r="C6" s="8" t="n">
        <v>8</v>
      </c>
      <c r="D6" s="8" t="n">
        <v>8.1</v>
      </c>
      <c r="E6" s="8" t="n">
        <v>13.2</v>
      </c>
      <c r="F6" s="8" t="n">
        <v>15</v>
      </c>
      <c r="G6" s="8" t="n">
        <v>20.5</v>
      </c>
      <c r="H6" s="8" t="n">
        <v>24.4</v>
      </c>
      <c r="I6" s="8" t="n">
        <v>23.6</v>
      </c>
      <c r="J6" s="8" t="n">
        <v>18.7</v>
      </c>
      <c r="K6" s="8" t="n">
        <v>12.5</v>
      </c>
      <c r="L6" s="8" t="n">
        <v>8.300000000000001</v>
      </c>
      <c r="M6" s="8" t="n">
        <v>1</v>
      </c>
      <c r="N6" s="9">
        <f>AVERAGE(B6:M6)</f>
        <v/>
      </c>
    </row>
    <row r="7">
      <c r="A7" s="7" t="inlineStr">
        <is>
          <t>Srednja maksimalna</t>
        </is>
      </c>
      <c r="B7" s="8" t="n">
        <v>8.6</v>
      </c>
      <c r="C7" s="8" t="n">
        <v>12.4</v>
      </c>
      <c r="D7" s="8" t="n">
        <v>13</v>
      </c>
      <c r="E7" s="8" t="n">
        <v>19</v>
      </c>
      <c r="F7" s="8" t="n">
        <v>19.9</v>
      </c>
      <c r="G7" s="8" t="n">
        <v>25.8</v>
      </c>
      <c r="H7" s="8" t="n">
        <v>30.3</v>
      </c>
      <c r="I7" s="8" t="n">
        <v>29.7</v>
      </c>
      <c r="J7" s="8" t="n">
        <v>25.1</v>
      </c>
      <c r="K7" s="8" t="n">
        <v>17.6</v>
      </c>
      <c r="L7" s="8" t="n">
        <v>13</v>
      </c>
      <c r="M7" s="8" t="n">
        <v>8.5</v>
      </c>
      <c r="N7" s="9">
        <f>AVERAGE(B7:M7)</f>
        <v/>
      </c>
    </row>
    <row r="8">
      <c r="A8" s="7" t="inlineStr">
        <is>
          <t>Srednja minimalna</t>
        </is>
      </c>
      <c r="B8" s="8" t="n">
        <v>0.3</v>
      </c>
      <c r="C8" s="8" t="n">
        <v>3.2</v>
      </c>
      <c r="D8" s="8" t="n">
        <v>2.9</v>
      </c>
      <c r="E8" s="8" t="n">
        <v>6.7</v>
      </c>
      <c r="F8" s="8" t="n">
        <v>9</v>
      </c>
      <c r="G8" s="8" t="n">
        <v>14.2</v>
      </c>
      <c r="H8" s="8" t="n">
        <v>16.9</v>
      </c>
      <c r="I8" s="8" t="n">
        <v>16.4</v>
      </c>
      <c r="J8" s="8" t="n">
        <v>12.5</v>
      </c>
      <c r="K8" s="8" t="n">
        <v>7.5</v>
      </c>
      <c r="L8" s="8" t="n">
        <v>4</v>
      </c>
      <c r="M8" s="8" t="n">
        <v>-3.5</v>
      </c>
      <c r="N8" s="9">
        <f>AVERAGE(B8:M8)</f>
        <v/>
      </c>
    </row>
    <row r="9">
      <c r="A9" s="7" t="inlineStr">
        <is>
          <t>Apsolutni maksimum</t>
        </is>
      </c>
      <c r="B9" s="8" t="n">
        <v>13.8</v>
      </c>
      <c r="C9" s="8" t="n">
        <v>18.9</v>
      </c>
      <c r="D9" s="8" t="n">
        <v>17.8</v>
      </c>
      <c r="E9" s="8" t="n">
        <v>23.2</v>
      </c>
      <c r="F9" s="8" t="n">
        <v>26.3</v>
      </c>
      <c r="G9" s="8" t="n">
        <v>33.8</v>
      </c>
      <c r="H9" s="8" t="n">
        <v>34.2</v>
      </c>
      <c r="I9" s="8" t="n">
        <v>32.8</v>
      </c>
      <c r="J9" s="8" t="n">
        <v>30.9</v>
      </c>
      <c r="K9" s="8" t="n">
        <v>22.7</v>
      </c>
      <c r="L9" s="8" t="n">
        <v>17.6</v>
      </c>
      <c r="M9" s="8" t="n">
        <v>11.3</v>
      </c>
      <c r="N9" s="9">
        <f>MAX(B9:M9)</f>
        <v/>
      </c>
    </row>
    <row r="10">
      <c r="A10" s="7" t="inlineStr">
        <is>
          <t>Apsolutni minimum</t>
        </is>
      </c>
      <c r="B10" s="8" t="n">
        <v>-6.4</v>
      </c>
      <c r="C10" s="8" t="n">
        <v>-4.8</v>
      </c>
      <c r="D10" s="8" t="n">
        <v>-2.4</v>
      </c>
      <c r="E10" s="8" t="n">
        <v>-1.1</v>
      </c>
      <c r="F10" s="8" t="n">
        <v>4.7</v>
      </c>
      <c r="G10" s="8" t="n">
        <v>8.199999999999999</v>
      </c>
      <c r="H10" s="8" t="n">
        <v>12.8</v>
      </c>
      <c r="I10" s="8" t="n">
        <v>11.1</v>
      </c>
      <c r="J10" s="8" t="n">
        <v>6.4</v>
      </c>
      <c r="K10" s="8" t="n">
        <v>1.4</v>
      </c>
      <c r="L10" s="8" t="n">
        <v>-3.8</v>
      </c>
      <c r="M10" s="8" t="n">
        <v>-6.6</v>
      </c>
      <c r="N10" s="9">
        <f>MIN(B10:M10)</f>
        <v/>
      </c>
    </row>
    <row r="11">
      <c r="A11" s="7" t="inlineStr">
        <is>
          <t>Sr. br. mraznih dana</t>
        </is>
      </c>
      <c r="B11" s="10" t="n">
        <v>15</v>
      </c>
      <c r="C11" s="10" t="n">
        <v>6</v>
      </c>
      <c r="D11" s="10" t="n">
        <v>7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7</v>
      </c>
      <c r="M11" s="10" t="n">
        <v>31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5</v>
      </c>
      <c r="H12" s="10" t="n">
        <v>21</v>
      </c>
      <c r="I12" s="10" t="n">
        <v>19</v>
      </c>
      <c r="J12" s="10" t="n">
        <v>3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79.3</v>
      </c>
      <c r="C14" s="8" t="n">
        <v>81.2</v>
      </c>
      <c r="D14" s="8" t="n">
        <v>77.2</v>
      </c>
      <c r="E14" s="8" t="n">
        <v>68.7</v>
      </c>
      <c r="F14" s="8" t="n">
        <v>74.90000000000001</v>
      </c>
      <c r="G14" s="8" t="n">
        <v>73.59999999999999</v>
      </c>
      <c r="H14" s="8" t="n">
        <v>58.9</v>
      </c>
      <c r="I14" s="8" t="n">
        <v>55.6</v>
      </c>
      <c r="J14" s="8" t="n">
        <v>68.09999999999999</v>
      </c>
      <c r="K14" s="8" t="n">
        <v>76.5</v>
      </c>
      <c r="L14" s="8" t="n">
        <v>79.59999999999999</v>
      </c>
      <c r="M14" s="8" t="n">
        <v>74.2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183</v>
      </c>
      <c r="C16" s="8" t="n">
        <v>191</v>
      </c>
      <c r="D16" s="8" t="n">
        <v>247.6</v>
      </c>
      <c r="E16" s="8" t="n">
        <v>333.9</v>
      </c>
      <c r="F16" s="8" t="n">
        <v>360.8</v>
      </c>
      <c r="G16" s="8" t="n">
        <v>384.1</v>
      </c>
      <c r="H16" s="8" t="n">
        <v>425.9</v>
      </c>
      <c r="I16" s="8" t="n">
        <v>407.8</v>
      </c>
      <c r="J16" s="8" t="n">
        <v>313.2</v>
      </c>
      <c r="K16" s="8" t="n">
        <v>262</v>
      </c>
      <c r="L16" s="8" t="n">
        <v>201.8</v>
      </c>
      <c r="M16" s="8" t="n">
        <v>252</v>
      </c>
      <c r="N16" s="9">
        <f>SUM(B16:M16)</f>
        <v/>
      </c>
    </row>
    <row r="17">
      <c r="A17" s="7" t="inlineStr">
        <is>
          <t>Broj vedrih dana</t>
        </is>
      </c>
      <c r="B17" s="10" t="n">
        <v>3</v>
      </c>
      <c r="C17" s="10" t="n">
        <v>2</v>
      </c>
      <c r="D17" s="10" t="n">
        <v>4</v>
      </c>
      <c r="E17" s="10" t="n">
        <v>8</v>
      </c>
      <c r="F17" s="10" t="n">
        <v>5</v>
      </c>
      <c r="G17" s="10" t="n">
        <v>2</v>
      </c>
      <c r="H17" s="10" t="n">
        <v>22</v>
      </c>
      <c r="I17" s="10" t="n">
        <v>20</v>
      </c>
      <c r="J17" s="10" t="n">
        <v>8</v>
      </c>
      <c r="K17" s="10" t="n">
        <v>7</v>
      </c>
      <c r="L17" s="10" t="n">
        <v>7</v>
      </c>
      <c r="M17" s="10" t="n">
        <v>19</v>
      </c>
      <c r="N17" s="11">
        <f>SUM(B17:M17)</f>
        <v/>
      </c>
    </row>
    <row r="18">
      <c r="A18" s="7" t="inlineStr">
        <is>
          <t>Broj oblačnih dana</t>
        </is>
      </c>
      <c r="B18" s="10" t="n">
        <v>12</v>
      </c>
      <c r="C18" s="10" t="n">
        <v>10</v>
      </c>
      <c r="D18" s="10" t="n">
        <v>14</v>
      </c>
      <c r="E18" s="10" t="n">
        <v>6</v>
      </c>
      <c r="F18" s="10" t="n">
        <v>8</v>
      </c>
      <c r="G18" s="10" t="n">
        <v>5</v>
      </c>
      <c r="H18" s="10" t="n">
        <v>1</v>
      </c>
      <c r="I18" s="10" t="n">
        <v>1</v>
      </c>
      <c r="J18" s="10" t="n">
        <v>5</v>
      </c>
      <c r="K18" s="10" t="n">
        <v>10</v>
      </c>
      <c r="L18" s="10" t="n">
        <v>11</v>
      </c>
      <c r="M18" s="10" t="n">
        <v>0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139.8</v>
      </c>
      <c r="C20" s="8" t="n">
        <v>223.8</v>
      </c>
      <c r="D20" s="8" t="n">
        <v>154.9</v>
      </c>
      <c r="E20" s="8" t="n">
        <v>109.7</v>
      </c>
      <c r="F20" s="8" t="n">
        <v>188.9</v>
      </c>
      <c r="G20" s="8" t="n">
        <v>109.7</v>
      </c>
      <c r="H20" s="8" t="n">
        <v>34.8</v>
      </c>
      <c r="I20" s="8" t="n">
        <v>25.9</v>
      </c>
      <c r="J20" s="8" t="n">
        <v>109.5</v>
      </c>
      <c r="K20" s="8" t="n">
        <v>227</v>
      </c>
      <c r="L20" s="8" t="n">
        <v>214.2</v>
      </c>
      <c r="M20" s="8" t="n">
        <v>1.7</v>
      </c>
      <c r="N20" s="9">
        <f>SUM(B20:M20)</f>
        <v/>
      </c>
    </row>
    <row r="21">
      <c r="A21" s="7" t="inlineStr">
        <is>
          <t>Max. dnevna suma</t>
        </is>
      </c>
      <c r="B21" s="8" t="n">
        <v>32.2</v>
      </c>
      <c r="C21" s="8" t="n">
        <v>47.9</v>
      </c>
      <c r="D21" s="8" t="n">
        <v>39.1</v>
      </c>
      <c r="E21" s="8" t="n">
        <v>26</v>
      </c>
      <c r="F21" s="8" t="n">
        <v>27.4</v>
      </c>
      <c r="G21" s="8" t="n">
        <v>41</v>
      </c>
      <c r="H21" s="8" t="n">
        <v>21.1</v>
      </c>
      <c r="I21" s="8" t="n">
        <v>6.2</v>
      </c>
      <c r="J21" s="8" t="n">
        <v>29.5</v>
      </c>
      <c r="K21" s="8" t="n">
        <v>40.9</v>
      </c>
      <c r="L21" s="8" t="n">
        <v>34.1</v>
      </c>
      <c r="M21" s="8" t="n">
        <v>1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17</v>
      </c>
      <c r="C22" s="10" t="n">
        <v>22</v>
      </c>
      <c r="D22" s="10" t="n">
        <v>21</v>
      </c>
      <c r="E22" s="10" t="n">
        <v>12</v>
      </c>
      <c r="F22" s="10" t="n">
        <v>23</v>
      </c>
      <c r="G22" s="10" t="n">
        <v>23</v>
      </c>
      <c r="H22" s="10" t="n">
        <v>9</v>
      </c>
      <c r="I22" s="10" t="n">
        <v>9</v>
      </c>
      <c r="J22" s="10" t="n">
        <v>16</v>
      </c>
      <c r="K22" s="10" t="n">
        <v>16</v>
      </c>
      <c r="L22" s="10" t="n">
        <v>16</v>
      </c>
      <c r="M22" s="10" t="n">
        <v>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5</v>
      </c>
      <c r="C23" s="10" t="n">
        <v>8</v>
      </c>
      <c r="D23" s="10" t="n">
        <v>5</v>
      </c>
      <c r="E23" s="10" t="n">
        <v>5</v>
      </c>
      <c r="F23" s="10" t="n">
        <v>9</v>
      </c>
      <c r="G23" s="10" t="n">
        <v>3</v>
      </c>
      <c r="H23" s="10" t="n">
        <v>1</v>
      </c>
      <c r="I23" s="10" t="n">
        <v>0</v>
      </c>
      <c r="J23" s="10" t="n">
        <v>4</v>
      </c>
      <c r="K23" s="10" t="n">
        <v>9</v>
      </c>
      <c r="L23" s="10" t="n">
        <v>8</v>
      </c>
      <c r="M23" s="10" t="n">
        <v>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1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1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2017.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-0.5</v>
      </c>
      <c r="C6" s="8" t="n">
        <v>6.8</v>
      </c>
      <c r="D6" s="8" t="n">
        <v>9.9</v>
      </c>
      <c r="E6" s="8" t="n">
        <v>11</v>
      </c>
      <c r="F6" s="8" t="n">
        <v>16.7</v>
      </c>
      <c r="G6" s="8" t="n">
        <v>23.4</v>
      </c>
      <c r="H6" s="8" t="n">
        <v>25.5</v>
      </c>
      <c r="I6" s="8" t="n">
        <v>26.6</v>
      </c>
      <c r="J6" s="8" t="n">
        <v>17.6</v>
      </c>
      <c r="K6" s="8" t="n">
        <v>13.1</v>
      </c>
      <c r="L6" s="8" t="n">
        <v>8.4</v>
      </c>
      <c r="M6" s="8" t="n">
        <v>4.7</v>
      </c>
      <c r="N6" s="9">
        <f>AVERAGE(B6:M6)</f>
        <v/>
      </c>
    </row>
    <row r="7">
      <c r="A7" s="7" t="inlineStr">
        <is>
          <t>Srednja maksimalna</t>
        </is>
      </c>
      <c r="B7" s="8" t="n">
        <v>4.9</v>
      </c>
      <c r="C7" s="8" t="n">
        <v>12.6</v>
      </c>
      <c r="D7" s="8" t="n">
        <v>16.2</v>
      </c>
      <c r="E7" s="8" t="n">
        <v>17</v>
      </c>
      <c r="F7" s="8" t="n">
        <v>22.8</v>
      </c>
      <c r="G7" s="8" t="n">
        <v>29.6</v>
      </c>
      <c r="H7" s="8" t="n">
        <v>32.4</v>
      </c>
      <c r="I7" s="8" t="n">
        <v>34.3</v>
      </c>
      <c r="J7" s="8" t="n">
        <v>23.6</v>
      </c>
      <c r="K7" s="8" t="n">
        <v>20</v>
      </c>
      <c r="L7" s="8" t="n">
        <v>13.2</v>
      </c>
      <c r="M7" s="8" t="n">
        <v>9</v>
      </c>
      <c r="N7" s="9">
        <f>AVERAGE(B7:M7)</f>
        <v/>
      </c>
    </row>
    <row r="8">
      <c r="A8" s="7" t="inlineStr">
        <is>
          <t>Srednja minimalna</t>
        </is>
      </c>
      <c r="B8" s="8" t="n">
        <v>-4.3</v>
      </c>
      <c r="C8" s="8" t="n">
        <v>2</v>
      </c>
      <c r="D8" s="8" t="n">
        <v>3.9</v>
      </c>
      <c r="E8" s="8" t="n">
        <v>5.1</v>
      </c>
      <c r="F8" s="8" t="n">
        <v>10.9</v>
      </c>
      <c r="G8" s="8" t="n">
        <v>16.9</v>
      </c>
      <c r="H8" s="8" t="n">
        <v>18.3</v>
      </c>
      <c r="I8" s="8" t="n">
        <v>19.3</v>
      </c>
      <c r="J8" s="8" t="n">
        <v>12.9</v>
      </c>
      <c r="K8" s="8" t="n">
        <v>7.4</v>
      </c>
      <c r="L8" s="8" t="n">
        <v>4.1</v>
      </c>
      <c r="M8" s="8" t="n">
        <v>0.6</v>
      </c>
      <c r="N8" s="9">
        <f>AVERAGE(B8:M8)</f>
        <v/>
      </c>
    </row>
    <row r="9">
      <c r="A9" s="7" t="inlineStr">
        <is>
          <t>Apsolutni maksimum</t>
        </is>
      </c>
      <c r="B9" s="8" t="n">
        <v>10.4</v>
      </c>
      <c r="C9" s="8" t="n">
        <v>16.3</v>
      </c>
      <c r="D9" s="8" t="n">
        <v>22.2</v>
      </c>
      <c r="E9" s="8" t="n">
        <v>21.2</v>
      </c>
      <c r="F9" s="8" t="n">
        <v>26.5</v>
      </c>
      <c r="G9" s="8" t="n">
        <v>34.8</v>
      </c>
      <c r="H9" s="8" t="n">
        <v>36.2</v>
      </c>
      <c r="I9" s="8" t="n">
        <v>40.2</v>
      </c>
      <c r="J9" s="8" t="n">
        <v>30.6</v>
      </c>
      <c r="K9" s="8" t="n">
        <v>25.5</v>
      </c>
      <c r="L9" s="8" t="n">
        <v>16.3</v>
      </c>
      <c r="M9" s="8" t="n">
        <v>15.2</v>
      </c>
      <c r="N9" s="9">
        <f>MAX(B9:M9)</f>
        <v/>
      </c>
    </row>
    <row r="10">
      <c r="A10" s="7" t="inlineStr">
        <is>
          <t>Apsolutni minimum</t>
        </is>
      </c>
      <c r="B10" s="8" t="n">
        <v>-9.800000000000001</v>
      </c>
      <c r="C10" s="8" t="n">
        <v>-4.6</v>
      </c>
      <c r="D10" s="8" t="n">
        <v>-1.4</v>
      </c>
      <c r="E10" s="8" t="n">
        <v>-0.8</v>
      </c>
      <c r="F10" s="8" t="n">
        <v>6.5</v>
      </c>
      <c r="G10" s="8" t="n">
        <v>12.2</v>
      </c>
      <c r="H10" s="8" t="n">
        <v>14.9</v>
      </c>
      <c r="I10" s="8" t="n">
        <v>14</v>
      </c>
      <c r="J10" s="8" t="n">
        <v>6.7</v>
      </c>
      <c r="K10" s="8" t="n">
        <v>3.1</v>
      </c>
      <c r="L10" s="8" t="n">
        <v>-2.8</v>
      </c>
      <c r="M10" s="8" t="n">
        <v>-4.9</v>
      </c>
      <c r="N10" s="9">
        <f>MIN(B10:M10)</f>
        <v/>
      </c>
    </row>
    <row r="11">
      <c r="A11" s="7" t="inlineStr">
        <is>
          <t>Sr. br. mraznih dana</t>
        </is>
      </c>
      <c r="B11" s="10" t="n">
        <v>28</v>
      </c>
      <c r="C11" s="10" t="n">
        <v>11</v>
      </c>
      <c r="D11" s="10" t="n">
        <v>2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3</v>
      </c>
      <c r="M11" s="10" t="n">
        <v>16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15</v>
      </c>
      <c r="H12" s="10" t="n">
        <v>23</v>
      </c>
      <c r="I12" s="10" t="n">
        <v>28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59.3</v>
      </c>
      <c r="C14" s="8" t="n">
        <v>75.40000000000001</v>
      </c>
      <c r="D14" s="8" t="n">
        <v>66.40000000000001</v>
      </c>
      <c r="E14" s="8" t="n">
        <v>66.40000000000001</v>
      </c>
      <c r="F14" s="8" t="n">
        <v>67</v>
      </c>
      <c r="G14" s="8" t="n">
        <v>55.2</v>
      </c>
      <c r="H14" s="8" t="n">
        <v>44.8</v>
      </c>
      <c r="I14" s="8" t="n">
        <v>41.7</v>
      </c>
      <c r="J14" s="8" t="n">
        <v>70.40000000000001</v>
      </c>
      <c r="K14" s="8" t="n">
        <v>70.8</v>
      </c>
      <c r="L14" s="8" t="n">
        <v>76.09999999999999</v>
      </c>
      <c r="M14" s="8" t="n">
        <v>74.5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222</v>
      </c>
      <c r="C16" s="8" t="n">
        <v>211</v>
      </c>
      <c r="D16" s="8" t="n">
        <v>319.5</v>
      </c>
      <c r="E16" s="8" t="n">
        <v>307</v>
      </c>
      <c r="F16" s="8" t="n">
        <v>392.1</v>
      </c>
      <c r="G16" s="8" t="n">
        <v>399.8</v>
      </c>
      <c r="H16" s="8" t="n">
        <v>429.4</v>
      </c>
      <c r="I16" s="8" t="n">
        <v>411.8</v>
      </c>
      <c r="J16" s="8" t="n">
        <v>305.6</v>
      </c>
      <c r="K16" s="8" t="n">
        <v>302.9</v>
      </c>
      <c r="L16" s="8" t="n">
        <v>190</v>
      </c>
      <c r="M16" s="8" t="n">
        <v>196.5</v>
      </c>
      <c r="N16" s="9">
        <f>SUM(B16:M16)</f>
        <v/>
      </c>
    </row>
    <row r="17">
      <c r="A17" s="7" t="inlineStr">
        <is>
          <t>Broj vedrih dana</t>
        </is>
      </c>
      <c r="B17" s="10" t="n">
        <v>10</v>
      </c>
      <c r="C17" s="10" t="n">
        <v>5</v>
      </c>
      <c r="D17" s="10" t="n">
        <v>13</v>
      </c>
      <c r="E17" s="10" t="n">
        <v>8</v>
      </c>
      <c r="F17" s="10" t="n">
        <v>8</v>
      </c>
      <c r="G17" s="10" t="n">
        <v>9</v>
      </c>
      <c r="H17" s="10" t="n">
        <v>21</v>
      </c>
      <c r="I17" s="10" t="n">
        <v>25</v>
      </c>
      <c r="J17" s="10" t="n">
        <v>6</v>
      </c>
      <c r="K17" s="10" t="n">
        <v>8</v>
      </c>
      <c r="L17" s="10" t="n">
        <v>3</v>
      </c>
      <c r="M17" s="10" t="n">
        <v>7</v>
      </c>
      <c r="N17" s="11">
        <f>SUM(B17:M17)</f>
        <v/>
      </c>
    </row>
    <row r="18">
      <c r="A18" s="7" t="inlineStr">
        <is>
          <t>Broj oblačnih dana</t>
        </is>
      </c>
      <c r="B18" s="10" t="n">
        <v>9</v>
      </c>
      <c r="C18" s="10" t="n">
        <v>12</v>
      </c>
      <c r="D18" s="10" t="n">
        <v>4</v>
      </c>
      <c r="E18" s="10" t="n">
        <v>4</v>
      </c>
      <c r="F18" s="10" t="n">
        <v>3</v>
      </c>
      <c r="G18" s="10" t="n">
        <v>1</v>
      </c>
      <c r="H18" s="10" t="n">
        <v>0</v>
      </c>
      <c r="I18" s="10" t="n">
        <v>0</v>
      </c>
      <c r="J18" s="10" t="n">
        <v>3</v>
      </c>
      <c r="K18" s="10" t="n">
        <v>1</v>
      </c>
      <c r="L18" s="10" t="n">
        <v>9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68.7</v>
      </c>
      <c r="C20" s="8" t="n">
        <v>113</v>
      </c>
      <c r="D20" s="8" t="n">
        <v>90.3</v>
      </c>
      <c r="E20" s="8" t="n">
        <v>82.5</v>
      </c>
      <c r="F20" s="8" t="n">
        <v>50.8</v>
      </c>
      <c r="G20" s="8" t="n">
        <v>20.8</v>
      </c>
      <c r="H20" s="8" t="n">
        <v>34.7</v>
      </c>
      <c r="I20" s="8" t="n">
        <v>6.4</v>
      </c>
      <c r="J20" s="8" t="n">
        <v>179.6</v>
      </c>
      <c r="K20" s="8" t="n">
        <v>42.6</v>
      </c>
      <c r="L20" s="8" t="n">
        <v>187.8</v>
      </c>
      <c r="M20" s="8" t="n">
        <v>132.1</v>
      </c>
      <c r="N20" s="9">
        <f>SUM(B20:M20)</f>
        <v/>
      </c>
    </row>
    <row r="21">
      <c r="A21" s="7" t="inlineStr">
        <is>
          <t>Max. dnevna suma</t>
        </is>
      </c>
      <c r="B21" s="8" t="n">
        <v>27.9</v>
      </c>
      <c r="C21" s="8" t="n">
        <v>27.8</v>
      </c>
      <c r="D21" s="8" t="n">
        <v>27.5</v>
      </c>
      <c r="E21" s="8" t="n">
        <v>23.4</v>
      </c>
      <c r="F21" s="8" t="n">
        <v>11</v>
      </c>
      <c r="G21" s="8" t="n">
        <v>7.9</v>
      </c>
      <c r="H21" s="8" t="n">
        <v>25.8</v>
      </c>
      <c r="I21" s="8" t="n">
        <v>3.7</v>
      </c>
      <c r="J21" s="8" t="n">
        <v>34.2</v>
      </c>
      <c r="K21" s="8" t="n">
        <v>17.9</v>
      </c>
      <c r="L21" s="8" t="n">
        <v>41.1</v>
      </c>
      <c r="M21" s="8" t="n">
        <v>31.5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12</v>
      </c>
      <c r="C22" s="10" t="n">
        <v>16</v>
      </c>
      <c r="D22" s="10" t="n">
        <v>9</v>
      </c>
      <c r="E22" s="10" t="n">
        <v>15</v>
      </c>
      <c r="F22" s="10" t="n">
        <v>17</v>
      </c>
      <c r="G22" s="10" t="n">
        <v>12</v>
      </c>
      <c r="H22" s="10" t="n">
        <v>10</v>
      </c>
      <c r="I22" s="10" t="n">
        <v>8</v>
      </c>
      <c r="J22" s="10" t="n">
        <v>18</v>
      </c>
      <c r="K22" s="10" t="n">
        <v>8</v>
      </c>
      <c r="L22" s="10" t="n">
        <v>17</v>
      </c>
      <c r="M22" s="10" t="n">
        <v>15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5</v>
      </c>
      <c r="D23" s="10" t="n">
        <v>3</v>
      </c>
      <c r="E23" s="10" t="n">
        <v>2</v>
      </c>
      <c r="F23" s="10" t="n">
        <v>1</v>
      </c>
      <c r="G23" s="10" t="n">
        <v>0</v>
      </c>
      <c r="H23" s="10" t="n">
        <v>1</v>
      </c>
      <c r="I23" s="10" t="n">
        <v>0</v>
      </c>
      <c r="J23" s="10" t="n">
        <v>8</v>
      </c>
      <c r="K23" s="10" t="n">
        <v>1</v>
      </c>
      <c r="L23" s="10" t="n">
        <v>7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4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4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2018.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5.5</v>
      </c>
      <c r="C6" s="8" t="n">
        <v>4.5</v>
      </c>
      <c r="D6" s="8" t="n">
        <v>7.9</v>
      </c>
      <c r="E6" s="8" t="n">
        <v>14.7</v>
      </c>
      <c r="F6" s="8" t="n">
        <v>18.9</v>
      </c>
      <c r="G6" s="8" t="n">
        <v>21.3</v>
      </c>
      <c r="H6" s="8" t="n">
        <v>25</v>
      </c>
      <c r="I6" s="8" t="n">
        <v>26.2</v>
      </c>
      <c r="J6" s="8" t="n">
        <v>20.8</v>
      </c>
      <c r="K6" s="8" t="n">
        <v>16</v>
      </c>
      <c r="L6" s="8" t="n">
        <v>10.5</v>
      </c>
      <c r="M6" s="8" t="n">
        <v>4</v>
      </c>
      <c r="N6" s="9">
        <f>AVERAGE(B6:M6)</f>
        <v/>
      </c>
    </row>
    <row r="7">
      <c r="A7" s="7" t="inlineStr">
        <is>
          <t>Srednja maksimalna</t>
        </is>
      </c>
      <c r="B7" s="8" t="n">
        <v>10.4</v>
      </c>
      <c r="C7" s="8" t="n">
        <v>8.800000000000001</v>
      </c>
      <c r="D7" s="8" t="n">
        <v>12.5</v>
      </c>
      <c r="E7" s="8" t="n">
        <v>21.6</v>
      </c>
      <c r="F7" s="8" t="n">
        <v>24.6</v>
      </c>
      <c r="G7" s="8" t="n">
        <v>26.7</v>
      </c>
      <c r="H7" s="8" t="n">
        <v>31</v>
      </c>
      <c r="I7" s="8" t="n">
        <v>32.9</v>
      </c>
      <c r="J7" s="8" t="n">
        <v>27.7</v>
      </c>
      <c r="K7" s="8" t="n">
        <v>22.5</v>
      </c>
      <c r="L7" s="8" t="n">
        <v>15.7</v>
      </c>
      <c r="M7" s="8" t="n">
        <v>8.800000000000001</v>
      </c>
      <c r="N7" s="9">
        <f>AVERAGE(B7:M7)</f>
        <v/>
      </c>
    </row>
    <row r="8">
      <c r="A8" s="7" t="inlineStr">
        <is>
          <t>Srednja minimalna</t>
        </is>
      </c>
      <c r="B8" s="8" t="n">
        <v>1</v>
      </c>
      <c r="C8" s="8" t="n">
        <v>0.7</v>
      </c>
      <c r="D8" s="8" t="n">
        <v>3.9</v>
      </c>
      <c r="E8" s="8" t="n">
        <v>8.300000000000001</v>
      </c>
      <c r="F8" s="8" t="n">
        <v>13.1</v>
      </c>
      <c r="G8" s="8" t="n">
        <v>16</v>
      </c>
      <c r="H8" s="8" t="n">
        <v>18.6</v>
      </c>
      <c r="I8" s="8" t="n">
        <v>19.5</v>
      </c>
      <c r="J8" s="8" t="n">
        <v>14.5</v>
      </c>
      <c r="K8" s="8" t="n">
        <v>10.7</v>
      </c>
      <c r="L8" s="8" t="n">
        <v>6.2</v>
      </c>
      <c r="M8" s="8" t="n">
        <v>-0.4</v>
      </c>
      <c r="N8" s="9">
        <f>AVERAGE(B8:M8)</f>
        <v/>
      </c>
    </row>
    <row r="9">
      <c r="A9" s="7" t="inlineStr">
        <is>
          <t>Apsolutni maksimum</t>
        </is>
      </c>
      <c r="B9" s="8" t="n">
        <v>15.1</v>
      </c>
      <c r="C9" s="8" t="n">
        <v>13.2</v>
      </c>
      <c r="D9" s="8" t="n">
        <v>16.7</v>
      </c>
      <c r="E9" s="8" t="n">
        <v>27.3</v>
      </c>
      <c r="F9" s="8" t="n">
        <v>29.2</v>
      </c>
      <c r="G9" s="8" t="n">
        <v>32.2</v>
      </c>
      <c r="H9" s="8" t="n">
        <v>34.6</v>
      </c>
      <c r="I9" s="8" t="n">
        <v>36.1</v>
      </c>
      <c r="J9" s="8" t="n">
        <v>31.4</v>
      </c>
      <c r="K9" s="8" t="n">
        <v>26</v>
      </c>
      <c r="L9" s="8" t="n">
        <v>23.2</v>
      </c>
      <c r="M9" s="8" t="n">
        <v>12.9</v>
      </c>
      <c r="N9" s="9">
        <f>MAX(B9:M9)</f>
        <v/>
      </c>
    </row>
    <row r="10">
      <c r="A10" s="7" t="inlineStr">
        <is>
          <t>Apsolutni minimum</t>
        </is>
      </c>
      <c r="B10" s="8" t="n">
        <v>-3.5</v>
      </c>
      <c r="C10" s="8" t="n">
        <v>-6.8</v>
      </c>
      <c r="D10" s="8" t="n">
        <v>-6.2</v>
      </c>
      <c r="E10" s="8" t="n">
        <v>1.3</v>
      </c>
      <c r="F10" s="8" t="n">
        <v>8.800000000000001</v>
      </c>
      <c r="G10" s="8" t="n">
        <v>11.7</v>
      </c>
      <c r="H10" s="8" t="n">
        <v>16.4</v>
      </c>
      <c r="I10" s="8" t="n">
        <v>16.3</v>
      </c>
      <c r="J10" s="8" t="n">
        <v>5.8</v>
      </c>
      <c r="K10" s="8" t="n">
        <v>5.7</v>
      </c>
      <c r="L10" s="8" t="n">
        <v>-3.1</v>
      </c>
      <c r="M10" s="8" t="n">
        <v>-4.7</v>
      </c>
      <c r="N10" s="9">
        <f>MIN(B10:M10)</f>
        <v/>
      </c>
    </row>
    <row r="11">
      <c r="A11" s="7" t="inlineStr">
        <is>
          <t>Sr. br. mraznih dana</t>
        </is>
      </c>
      <c r="B11" s="10" t="n">
        <v>16</v>
      </c>
      <c r="C11" s="10" t="n">
        <v>12</v>
      </c>
      <c r="D11" s="10" t="n">
        <v>3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18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</v>
      </c>
      <c r="H12" s="10" t="n">
        <v>20</v>
      </c>
      <c r="I12" s="10" t="n">
        <v>28</v>
      </c>
      <c r="J12" s="10" t="n">
        <v>9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78.09999999999999</v>
      </c>
      <c r="C14" s="8" t="n">
        <v>71.2</v>
      </c>
      <c r="D14" s="8" t="n">
        <v>77.8</v>
      </c>
      <c r="E14" s="8" t="n">
        <v>68.7</v>
      </c>
      <c r="F14" s="8" t="n">
        <v>70.2</v>
      </c>
      <c r="G14" s="8" t="n">
        <v>65.40000000000001</v>
      </c>
      <c r="H14" s="8" t="n">
        <v>54.4</v>
      </c>
      <c r="I14" s="8" t="n">
        <v>52.1</v>
      </c>
      <c r="J14" s="8" t="n">
        <v>54.9</v>
      </c>
      <c r="K14" s="8" t="n">
        <v>64.40000000000001</v>
      </c>
      <c r="L14" s="8" t="n">
        <v>76.3</v>
      </c>
      <c r="M14" s="8" t="n">
        <v>74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183.8</v>
      </c>
      <c r="C16" s="8" t="n">
        <v>172.6</v>
      </c>
      <c r="D16" s="8" t="n">
        <v>216.8</v>
      </c>
      <c r="E16" s="8" t="n">
        <v>330.8</v>
      </c>
      <c r="F16" s="8" t="n">
        <v>386.7</v>
      </c>
      <c r="G16" s="8" t="n">
        <v>366.4</v>
      </c>
      <c r="H16" s="8" t="n">
        <v>422</v>
      </c>
      <c r="I16" s="8" t="n">
        <v>400.3</v>
      </c>
      <c r="J16" s="8" t="n">
        <v>344</v>
      </c>
      <c r="K16" s="8" t="n">
        <v>285.5</v>
      </c>
      <c r="L16" s="8" t="n">
        <v>190.9</v>
      </c>
      <c r="M16" s="8" t="n">
        <v>159.4</v>
      </c>
      <c r="N16" s="9">
        <f>SUM(B16:M16)</f>
        <v/>
      </c>
    </row>
    <row r="17">
      <c r="A17" s="7" t="inlineStr">
        <is>
          <t>Broj vedrih dana</t>
        </is>
      </c>
      <c r="B17" s="10" t="n">
        <v>6</v>
      </c>
      <c r="C17" s="10" t="n">
        <v>4</v>
      </c>
      <c r="D17" s="10" t="n">
        <v>1</v>
      </c>
      <c r="E17" s="10" t="n">
        <v>9</v>
      </c>
      <c r="F17" s="10" t="n">
        <v>3</v>
      </c>
      <c r="G17" s="10" t="n">
        <v>5</v>
      </c>
      <c r="H17" s="10" t="n">
        <v>14</v>
      </c>
      <c r="I17" s="10" t="n">
        <v>11</v>
      </c>
      <c r="J17" s="10" t="n">
        <v>10</v>
      </c>
      <c r="K17" s="10" t="n">
        <v>9</v>
      </c>
      <c r="L17" s="10" t="n">
        <v>4</v>
      </c>
      <c r="M17" s="10" t="n">
        <v>5</v>
      </c>
      <c r="N17" s="11">
        <f>SUM(B17:M17)</f>
        <v/>
      </c>
    </row>
    <row r="18">
      <c r="A18" s="7" t="inlineStr">
        <is>
          <t>Broj oblačnih dana</t>
        </is>
      </c>
      <c r="B18" s="10" t="n">
        <v>12</v>
      </c>
      <c r="C18" s="10" t="n">
        <v>12</v>
      </c>
      <c r="D18" s="10" t="n">
        <v>18</v>
      </c>
      <c r="E18" s="10" t="n">
        <v>3</v>
      </c>
      <c r="F18" s="10" t="n">
        <v>4</v>
      </c>
      <c r="G18" s="10" t="n">
        <v>4</v>
      </c>
      <c r="H18" s="10" t="n">
        <v>0</v>
      </c>
      <c r="I18" s="10" t="n">
        <v>0</v>
      </c>
      <c r="J18" s="10" t="n">
        <v>1</v>
      </c>
      <c r="K18" s="10" t="n">
        <v>4</v>
      </c>
      <c r="L18" s="10" t="n">
        <v>11</v>
      </c>
      <c r="M18" s="10" t="n">
        <v>11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102.7</v>
      </c>
      <c r="C20" s="8" t="n">
        <v>149.6</v>
      </c>
      <c r="D20" s="8" t="n">
        <v>326.8</v>
      </c>
      <c r="E20" s="8" t="n">
        <v>39.9</v>
      </c>
      <c r="F20" s="8" t="n">
        <v>95</v>
      </c>
      <c r="G20" s="8" t="n">
        <v>64.5</v>
      </c>
      <c r="H20" s="8" t="n">
        <v>26.2</v>
      </c>
      <c r="I20" s="8" t="n">
        <v>49.7</v>
      </c>
      <c r="J20" s="8" t="n">
        <v>30</v>
      </c>
      <c r="K20" s="8" t="n">
        <v>178.9</v>
      </c>
      <c r="L20" s="8" t="n">
        <v>202</v>
      </c>
      <c r="M20" s="8" t="n">
        <v>90.40000000000001</v>
      </c>
      <c r="N20" s="9">
        <f>SUM(B20:M20)</f>
        <v/>
      </c>
    </row>
    <row r="21">
      <c r="A21" s="7" t="inlineStr">
        <is>
          <t>Max. dnevna suma</t>
        </is>
      </c>
      <c r="B21" s="8" t="n">
        <v>15.3</v>
      </c>
      <c r="C21" s="8" t="n">
        <v>24.2</v>
      </c>
      <c r="D21" s="8" t="n">
        <v>45.6</v>
      </c>
      <c r="E21" s="8" t="n">
        <v>19.8</v>
      </c>
      <c r="F21" s="8" t="n">
        <v>15.4</v>
      </c>
      <c r="G21" s="8" t="n">
        <v>18.4</v>
      </c>
      <c r="H21" s="8" t="n">
        <v>11</v>
      </c>
      <c r="I21" s="8" t="n">
        <v>30.5</v>
      </c>
      <c r="J21" s="8" t="n">
        <v>9.300000000000001</v>
      </c>
      <c r="K21" s="8" t="n">
        <v>47</v>
      </c>
      <c r="L21" s="8" t="n">
        <v>61.5</v>
      </c>
      <c r="M21" s="8" t="n">
        <v>33.2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15</v>
      </c>
      <c r="C22" s="10" t="n">
        <v>19</v>
      </c>
      <c r="D22" s="10" t="n">
        <v>28</v>
      </c>
      <c r="E22" s="10" t="n">
        <v>12</v>
      </c>
      <c r="F22" s="10" t="n">
        <v>24</v>
      </c>
      <c r="G22" s="10" t="n">
        <v>20</v>
      </c>
      <c r="H22" s="10" t="n">
        <v>10</v>
      </c>
      <c r="I22" s="10" t="n">
        <v>15</v>
      </c>
      <c r="J22" s="10" t="n">
        <v>10</v>
      </c>
      <c r="K22" s="10" t="n">
        <v>13</v>
      </c>
      <c r="L22" s="10" t="n">
        <v>13</v>
      </c>
      <c r="M22" s="10" t="n">
        <v>13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7</v>
      </c>
      <c r="D23" s="10" t="n">
        <v>13</v>
      </c>
      <c r="E23" s="10" t="n">
        <v>1</v>
      </c>
      <c r="F23" s="10" t="n">
        <v>2</v>
      </c>
      <c r="G23" s="10" t="n">
        <v>3</v>
      </c>
      <c r="H23" s="10" t="n">
        <v>2</v>
      </c>
      <c r="I23" s="10" t="n">
        <v>2</v>
      </c>
      <c r="J23" s="10" t="n">
        <v>0</v>
      </c>
      <c r="K23" s="10" t="n">
        <v>5</v>
      </c>
      <c r="L23" s="10" t="n">
        <v>7</v>
      </c>
      <c r="M23" s="10" t="n">
        <v>2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4</v>
      </c>
      <c r="D25" s="10" t="n">
        <v>4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2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4</v>
      </c>
      <c r="D26" s="10" t="n">
        <v>4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2019.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</v>
      </c>
      <c r="C6" s="8" t="n">
        <v>5.4</v>
      </c>
      <c r="D6" s="8" t="n">
        <v>9.1</v>
      </c>
      <c r="E6" s="8" t="n">
        <v>12.2</v>
      </c>
      <c r="F6" s="8" t="n">
        <v>13.5</v>
      </c>
      <c r="G6" s="8" t="n">
        <v>22.9</v>
      </c>
      <c r="H6" s="8" t="n">
        <v>24.3</v>
      </c>
      <c r="I6" s="8" t="n">
        <v>25.6</v>
      </c>
      <c r="J6" s="8" t="n">
        <v>19.8</v>
      </c>
      <c r="K6" s="8" t="n">
        <v>14.7</v>
      </c>
      <c r="L6" s="8" t="n">
        <v>12.3</v>
      </c>
      <c r="M6" s="8" t="n">
        <v>6.7</v>
      </c>
      <c r="N6" s="9">
        <f>AVERAGE(B6:M6)</f>
        <v/>
      </c>
    </row>
    <row r="7">
      <c r="A7" s="7" t="inlineStr">
        <is>
          <t>Srednja maksimalna</t>
        </is>
      </c>
      <c r="B7" s="8" t="n">
        <v>6.2</v>
      </c>
      <c r="C7" s="8" t="n">
        <v>11.2</v>
      </c>
      <c r="D7" s="8" t="n">
        <v>15.4</v>
      </c>
      <c r="E7" s="8" t="n">
        <v>17.7</v>
      </c>
      <c r="F7" s="8" t="n">
        <v>18.1</v>
      </c>
      <c r="G7" s="8" t="n">
        <v>29.4</v>
      </c>
      <c r="H7" s="8" t="n">
        <v>30.8</v>
      </c>
      <c r="I7" s="8" t="n">
        <v>32.5</v>
      </c>
      <c r="J7" s="8" t="n">
        <v>25.8</v>
      </c>
      <c r="K7" s="8" t="n">
        <v>22.1</v>
      </c>
      <c r="L7" s="8" t="n">
        <v>16.2</v>
      </c>
      <c r="M7" s="8" t="n">
        <v>11.1</v>
      </c>
      <c r="N7" s="9">
        <f>AVERAGE(B7:M7)</f>
        <v/>
      </c>
    </row>
    <row r="8">
      <c r="A8" s="7" t="inlineStr">
        <is>
          <t>Srednja minimalna</t>
        </is>
      </c>
      <c r="B8" s="8" t="n">
        <v>-1.8</v>
      </c>
      <c r="C8" s="8" t="n">
        <v>0</v>
      </c>
      <c r="D8" s="8" t="n">
        <v>3.7</v>
      </c>
      <c r="E8" s="8" t="n">
        <v>7</v>
      </c>
      <c r="F8" s="8" t="n">
        <v>8.800000000000001</v>
      </c>
      <c r="G8" s="8" t="n">
        <v>16.5</v>
      </c>
      <c r="H8" s="8" t="n">
        <v>17.7</v>
      </c>
      <c r="I8" s="8" t="n">
        <v>18.9</v>
      </c>
      <c r="J8" s="8" t="n">
        <v>14.6</v>
      </c>
      <c r="K8" s="8" t="n">
        <v>8.9</v>
      </c>
      <c r="L8" s="8" t="n">
        <v>8.6</v>
      </c>
      <c r="M8" s="8" t="n">
        <v>2.8</v>
      </c>
      <c r="N8" s="9">
        <f>AVERAGE(B8:M8)</f>
        <v/>
      </c>
    </row>
    <row r="9">
      <c r="A9" s="7" t="inlineStr">
        <is>
          <t>Apsolutni maksimum</t>
        </is>
      </c>
      <c r="B9" s="8" t="n">
        <v>10.2</v>
      </c>
      <c r="C9" s="8" t="n">
        <v>15</v>
      </c>
      <c r="D9" s="8" t="n">
        <v>21.3</v>
      </c>
      <c r="E9" s="8" t="n">
        <v>24.6</v>
      </c>
      <c r="F9" s="8" t="n">
        <v>21.7</v>
      </c>
      <c r="G9" s="8" t="n">
        <v>34.8</v>
      </c>
      <c r="H9" s="8" t="n">
        <v>36.5</v>
      </c>
      <c r="I9" s="8" t="n">
        <v>38.2</v>
      </c>
      <c r="J9" s="8" t="n">
        <v>32.5</v>
      </c>
      <c r="K9" s="8" t="n">
        <v>25.6</v>
      </c>
      <c r="L9" s="8" t="n">
        <v>19.2</v>
      </c>
      <c r="M9" s="8" t="n">
        <v>16.6</v>
      </c>
      <c r="N9" s="9">
        <f>MAX(B9:M9)</f>
        <v/>
      </c>
    </row>
    <row r="10">
      <c r="A10" s="7" t="inlineStr">
        <is>
          <t>Apsolutni minimum</t>
        </is>
      </c>
      <c r="B10" s="8" t="n">
        <v>-7</v>
      </c>
      <c r="C10" s="8" t="n">
        <v>-4.2</v>
      </c>
      <c r="D10" s="8" t="n">
        <v>-1.7</v>
      </c>
      <c r="E10" s="8" t="n">
        <v>3.4</v>
      </c>
      <c r="F10" s="8" t="n">
        <v>2.6</v>
      </c>
      <c r="G10" s="8" t="n">
        <v>9.6</v>
      </c>
      <c r="H10" s="8" t="n">
        <v>13.4</v>
      </c>
      <c r="I10" s="8" t="n">
        <v>14.8</v>
      </c>
      <c r="J10" s="8" t="n">
        <v>7.5</v>
      </c>
      <c r="K10" s="8" t="n">
        <v>6</v>
      </c>
      <c r="L10" s="8" t="n">
        <v>3.4</v>
      </c>
      <c r="M10" s="8" t="n">
        <v>-5</v>
      </c>
      <c r="N10" s="9">
        <f>MIN(B10:M10)</f>
        <v/>
      </c>
    </row>
    <row r="11">
      <c r="A11" s="7" t="inlineStr">
        <is>
          <t>Sr. br. mraznih dana</t>
        </is>
      </c>
      <c r="B11" s="10" t="n">
        <v>21</v>
      </c>
      <c r="C11" s="10" t="n">
        <v>17</v>
      </c>
      <c r="D11" s="10" t="n">
        <v>2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16</v>
      </c>
      <c r="H12" s="10" t="n">
        <v>21</v>
      </c>
      <c r="I12" s="10" t="n">
        <v>24</v>
      </c>
      <c r="J12" s="10" t="n">
        <v>3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73.2</v>
      </c>
      <c r="C14" s="8" t="n">
        <v>66.5</v>
      </c>
      <c r="D14" s="8" t="n">
        <v>64.8</v>
      </c>
      <c r="E14" s="8" t="n">
        <v>72.5</v>
      </c>
      <c r="F14" s="8" t="n">
        <v>77.8</v>
      </c>
      <c r="G14" s="8" t="n">
        <v>65</v>
      </c>
      <c r="H14" s="8" t="n">
        <v>56.6</v>
      </c>
      <c r="I14" s="8" t="n">
        <v>54.1</v>
      </c>
      <c r="J14" s="8" t="n">
        <v>65.3</v>
      </c>
      <c r="K14" s="8" t="n">
        <v>72.09999999999999</v>
      </c>
      <c r="L14" s="8" t="n">
        <v>82.5</v>
      </c>
      <c r="M14" s="8" t="n">
        <v>74.8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170.2</v>
      </c>
      <c r="C16" s="8" t="n">
        <v>214.4</v>
      </c>
      <c r="D16" s="8" t="n">
        <v>300</v>
      </c>
      <c r="E16" s="8" t="n">
        <v>281.3</v>
      </c>
      <c r="F16" s="8" t="n">
        <v>306.2</v>
      </c>
      <c r="G16" s="8" t="n">
        <v>393.2</v>
      </c>
      <c r="H16" s="8" t="n">
        <v>404.4</v>
      </c>
      <c r="I16" s="8" t="n">
        <v>406.4</v>
      </c>
      <c r="J16" s="8" t="n">
        <v>319.6</v>
      </c>
      <c r="K16" s="8" t="n">
        <v>315.2</v>
      </c>
      <c r="L16" s="8" t="n">
        <v>182.4</v>
      </c>
      <c r="M16" s="8" t="n">
        <v>191.7</v>
      </c>
      <c r="N16" s="9">
        <f>SUM(B16:M16)</f>
        <v/>
      </c>
    </row>
    <row r="17">
      <c r="A17" s="7" t="inlineStr">
        <is>
          <t>Broj vedrih dana</t>
        </is>
      </c>
      <c r="B17" s="10" t="n">
        <v>1</v>
      </c>
      <c r="C17" s="10" t="n">
        <v>10</v>
      </c>
      <c r="D17" s="10" t="n">
        <v>9</v>
      </c>
      <c r="E17" s="10" t="n">
        <v>7</v>
      </c>
      <c r="F17" s="10" t="n">
        <v>1</v>
      </c>
      <c r="G17" s="10" t="n">
        <v>14</v>
      </c>
      <c r="H17" s="10" t="n">
        <v>16</v>
      </c>
      <c r="I17" s="10" t="n">
        <v>20</v>
      </c>
      <c r="J17" s="10" t="n">
        <v>10</v>
      </c>
      <c r="K17" s="10" t="n">
        <v>16</v>
      </c>
      <c r="L17" s="10" t="n">
        <v>2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5</v>
      </c>
      <c r="D18" s="10" t="n">
        <v>6</v>
      </c>
      <c r="E18" s="10" t="n">
        <v>12</v>
      </c>
      <c r="F18" s="10" t="n">
        <v>9</v>
      </c>
      <c r="G18" s="10" t="n">
        <v>2</v>
      </c>
      <c r="H18" s="10" t="n">
        <v>0</v>
      </c>
      <c r="I18" s="10" t="n">
        <v>0</v>
      </c>
      <c r="J18" s="10" t="n">
        <v>3</v>
      </c>
      <c r="K18" s="10" t="n">
        <v>2</v>
      </c>
      <c r="L18" s="10" t="n">
        <v>12</v>
      </c>
      <c r="M18" s="10" t="n">
        <v>9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111.6</v>
      </c>
      <c r="C20" s="8" t="n">
        <v>85.59999999999999</v>
      </c>
      <c r="D20" s="8" t="n">
        <v>55.8</v>
      </c>
      <c r="E20" s="8" t="n">
        <v>232.1</v>
      </c>
      <c r="F20" s="8" t="n">
        <v>214.6</v>
      </c>
      <c r="G20" s="8" t="n">
        <v>9.800000000000001</v>
      </c>
      <c r="H20" s="8" t="n">
        <v>64.59999999999999</v>
      </c>
      <c r="I20" s="8" t="n">
        <v>12.3</v>
      </c>
      <c r="J20" s="8" t="n">
        <v>101.5</v>
      </c>
      <c r="K20" s="8" t="n">
        <v>41.4</v>
      </c>
      <c r="L20" s="8" t="n">
        <v>306.5</v>
      </c>
      <c r="M20" s="8" t="n">
        <v>155.4</v>
      </c>
      <c r="N20" s="9">
        <f>SUM(B20:M20)</f>
        <v/>
      </c>
    </row>
    <row r="21">
      <c r="A21" s="7" t="inlineStr">
        <is>
          <t>Max. dnevna suma</t>
        </is>
      </c>
      <c r="B21" s="8" t="n">
        <v>20.2</v>
      </c>
      <c r="C21" s="8" t="n">
        <v>48.6</v>
      </c>
      <c r="D21" s="8" t="n">
        <v>20.1</v>
      </c>
      <c r="E21" s="8" t="n">
        <v>80.7</v>
      </c>
      <c r="F21" s="8" t="n">
        <v>22.3</v>
      </c>
      <c r="G21" s="8" t="n">
        <v>3</v>
      </c>
      <c r="H21" s="8" t="n">
        <v>36.9</v>
      </c>
      <c r="I21" s="8" t="n">
        <v>9.699999999999999</v>
      </c>
      <c r="J21" s="8" t="n">
        <v>24.6</v>
      </c>
      <c r="K21" s="8" t="n">
        <v>20.7</v>
      </c>
      <c r="L21" s="8" t="n">
        <v>42</v>
      </c>
      <c r="M21" s="8" t="n">
        <v>27.5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17</v>
      </c>
      <c r="C22" s="10" t="n">
        <v>9</v>
      </c>
      <c r="D22" s="10" t="n">
        <v>10</v>
      </c>
      <c r="E22" s="10" t="n">
        <v>21</v>
      </c>
      <c r="F22" s="10" t="n">
        <v>24</v>
      </c>
      <c r="G22" s="10" t="n">
        <v>10</v>
      </c>
      <c r="H22" s="10" t="n">
        <v>6</v>
      </c>
      <c r="I22" s="10" t="n">
        <v>6</v>
      </c>
      <c r="J22" s="10" t="n">
        <v>11</v>
      </c>
      <c r="K22" s="10" t="n">
        <v>5</v>
      </c>
      <c r="L22" s="10" t="n">
        <v>26</v>
      </c>
      <c r="M22" s="10" t="n">
        <v>16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4</v>
      </c>
      <c r="C23" s="10" t="n">
        <v>2</v>
      </c>
      <c r="D23" s="10" t="n">
        <v>3</v>
      </c>
      <c r="E23" s="10" t="n">
        <v>7</v>
      </c>
      <c r="F23" s="10" t="n">
        <v>9</v>
      </c>
      <c r="G23" s="10" t="n">
        <v>0</v>
      </c>
      <c r="H23" s="10" t="n">
        <v>3</v>
      </c>
      <c r="I23" s="10" t="n">
        <v>0</v>
      </c>
      <c r="J23" s="10" t="n">
        <v>4</v>
      </c>
      <c r="K23" s="10" t="n">
        <v>2</v>
      </c>
      <c r="L23" s="10" t="n">
        <v>11</v>
      </c>
      <c r="M23" s="10" t="n">
        <v>7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5</v>
      </c>
      <c r="C25" s="10" t="n">
        <v>1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5</v>
      </c>
      <c r="C26" s="10" t="n">
        <v>1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2020.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2.7</v>
      </c>
      <c r="C6" s="8" t="n">
        <v>6.3</v>
      </c>
      <c r="D6" s="8" t="n">
        <v>8.5</v>
      </c>
      <c r="E6" s="8" t="n">
        <v>11.9</v>
      </c>
      <c r="F6" s="8" t="n">
        <v>16.4</v>
      </c>
      <c r="G6" s="8" t="n">
        <v>19.3</v>
      </c>
      <c r="H6" s="8" t="n">
        <v>24.1</v>
      </c>
      <c r="I6" s="8" t="n">
        <v>24.5</v>
      </c>
      <c r="J6" s="8" t="n">
        <v>20.9</v>
      </c>
      <c r="K6" s="8" t="n">
        <v>13.4</v>
      </c>
      <c r="L6" s="8" t="n">
        <v>9.300000000000001</v>
      </c>
      <c r="M6" s="8" t="n">
        <v>7.6</v>
      </c>
      <c r="N6" s="9">
        <f>AVERAGE(B6:M6)</f>
        <v/>
      </c>
    </row>
    <row r="7">
      <c r="A7" s="7" t="inlineStr">
        <is>
          <t>Srednja maksimalna</t>
        </is>
      </c>
      <c r="B7" s="8" t="n">
        <v>9.699999999999999</v>
      </c>
      <c r="C7" s="8" t="n">
        <v>12.5</v>
      </c>
      <c r="D7" s="8" t="n">
        <v>14.1</v>
      </c>
      <c r="E7" s="8" t="n">
        <v>18.8</v>
      </c>
      <c r="F7" s="8" t="n">
        <v>22.1</v>
      </c>
      <c r="G7" s="8" t="n">
        <v>24.8</v>
      </c>
      <c r="H7" s="8" t="n">
        <v>31</v>
      </c>
      <c r="I7" s="8" t="n">
        <v>31.1</v>
      </c>
      <c r="J7" s="8" t="n">
        <v>27.3</v>
      </c>
      <c r="K7" s="8" t="n">
        <v>19.1</v>
      </c>
      <c r="L7" s="8" t="n">
        <v>15.7</v>
      </c>
      <c r="M7" s="8" t="n">
        <v>12</v>
      </c>
      <c r="N7" s="9">
        <f>AVERAGE(B7:M7)</f>
        <v/>
      </c>
    </row>
    <row r="8">
      <c r="A8" s="7" t="inlineStr">
        <is>
          <t>Srednja minimalna</t>
        </is>
      </c>
      <c r="B8" s="8" t="n">
        <v>-2.2</v>
      </c>
      <c r="C8" s="8" t="n">
        <v>1.2</v>
      </c>
      <c r="D8" s="8" t="n">
        <v>3.2</v>
      </c>
      <c r="E8" s="8" t="n">
        <v>5.5</v>
      </c>
      <c r="F8" s="8" t="n">
        <v>10.7</v>
      </c>
      <c r="G8" s="8" t="n">
        <v>13.7</v>
      </c>
      <c r="H8" s="8" t="n">
        <v>17.1</v>
      </c>
      <c r="I8" s="8" t="n">
        <v>18.3</v>
      </c>
      <c r="J8" s="8" t="n">
        <v>15.3</v>
      </c>
      <c r="K8" s="8" t="n">
        <v>8.6</v>
      </c>
      <c r="L8" s="8" t="n">
        <v>4.5</v>
      </c>
      <c r="M8" s="8" t="n">
        <v>3.9</v>
      </c>
      <c r="N8" s="9">
        <f>AVERAGE(B8:M8)</f>
        <v/>
      </c>
    </row>
    <row r="9">
      <c r="A9" s="7" t="inlineStr">
        <is>
          <t>Apsolutni maksimum</t>
        </is>
      </c>
      <c r="B9" s="8" t="n">
        <v>12.7</v>
      </c>
      <c r="C9" s="8" t="n">
        <v>17.1</v>
      </c>
      <c r="D9" s="8" t="n">
        <v>19.6</v>
      </c>
      <c r="E9" s="8" t="n">
        <v>23.8</v>
      </c>
      <c r="F9" s="8" t="n">
        <v>28.5</v>
      </c>
      <c r="G9" s="8" t="n">
        <v>32.5</v>
      </c>
      <c r="H9" s="8" t="n">
        <v>37.2</v>
      </c>
      <c r="I9" s="8" t="n">
        <v>36.1</v>
      </c>
      <c r="J9" s="8" t="n">
        <v>32.8</v>
      </c>
      <c r="K9" s="8" t="n">
        <v>25.9</v>
      </c>
      <c r="L9" s="8" t="n">
        <v>21.2</v>
      </c>
      <c r="M9" s="8" t="n">
        <v>16.9</v>
      </c>
      <c r="N9" s="9">
        <f>MAX(B9:M9)</f>
        <v/>
      </c>
    </row>
    <row r="10">
      <c r="A10" s="7" t="inlineStr">
        <is>
          <t>Apsolutni minimum</t>
        </is>
      </c>
      <c r="B10" s="8" t="n">
        <v>-5.5</v>
      </c>
      <c r="C10" s="8" t="n">
        <v>-3.2</v>
      </c>
      <c r="D10" s="8" t="n">
        <v>-0.8</v>
      </c>
      <c r="E10" s="8" t="n">
        <v>-2</v>
      </c>
      <c r="F10" s="8" t="n">
        <v>5.4</v>
      </c>
      <c r="G10" s="8" t="n">
        <v>8.199999999999999</v>
      </c>
      <c r="H10" s="8" t="n">
        <v>11.8</v>
      </c>
      <c r="I10" s="8" t="n">
        <v>14.8</v>
      </c>
      <c r="J10" s="8" t="n">
        <v>7.1</v>
      </c>
      <c r="K10" s="8" t="n">
        <v>2.9</v>
      </c>
      <c r="L10" s="8" t="n">
        <v>-1.7</v>
      </c>
      <c r="M10" s="8" t="n">
        <v>-2.6</v>
      </c>
      <c r="N10" s="9">
        <f>MIN(B10:M10)</f>
        <v/>
      </c>
    </row>
    <row r="11">
      <c r="A11" s="7" t="inlineStr">
        <is>
          <t>Sr. br. mraznih dana</t>
        </is>
      </c>
      <c r="B11" s="10" t="n">
        <v>25</v>
      </c>
      <c r="C11" s="10" t="n">
        <v>11</v>
      </c>
      <c r="D11" s="10" t="n">
        <v>2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5</v>
      </c>
      <c r="M11" s="10" t="n">
        <v>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5</v>
      </c>
      <c r="H12" s="10" t="n">
        <v>18</v>
      </c>
      <c r="I12" s="10" t="n">
        <v>22</v>
      </c>
      <c r="J12" s="10" t="n">
        <v>10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68.5</v>
      </c>
      <c r="C14" s="8" t="n">
        <v>70.59999999999999</v>
      </c>
      <c r="D14" s="8" t="n">
        <v>64.90000000000001</v>
      </c>
      <c r="E14" s="8" t="n">
        <v>59</v>
      </c>
      <c r="F14" s="8" t="n">
        <v>60.8</v>
      </c>
      <c r="G14" s="8" t="n">
        <v>70.8</v>
      </c>
      <c r="H14" s="8" t="n">
        <v>52.7</v>
      </c>
      <c r="I14" s="8" t="n">
        <v>60.5</v>
      </c>
      <c r="J14" s="8" t="n">
        <v>62.8</v>
      </c>
      <c r="K14" s="8" t="n">
        <v>78.2</v>
      </c>
      <c r="L14" s="8" t="n">
        <v>74.5</v>
      </c>
      <c r="M14" s="8" t="n">
        <v>81.59999999999999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232.6</v>
      </c>
      <c r="C16" s="8" t="n">
        <v>238.4</v>
      </c>
      <c r="D16" s="8" t="n">
        <v>272.7</v>
      </c>
      <c r="E16" s="8" t="n">
        <v>325</v>
      </c>
      <c r="F16" s="8" t="n">
        <v>331.6</v>
      </c>
      <c r="G16" s="8" t="n">
        <v>367.3</v>
      </c>
      <c r="H16" s="8" t="n">
        <v>426.9</v>
      </c>
      <c r="I16" s="8" t="n">
        <v>388.5</v>
      </c>
      <c r="J16" s="8" t="n">
        <v>309.4</v>
      </c>
      <c r="K16" s="8" t="n">
        <v>263.3</v>
      </c>
      <c r="L16" s="8" t="n">
        <v>241.6</v>
      </c>
      <c r="M16" s="8" t="n">
        <v>173.1</v>
      </c>
      <c r="N16" s="9">
        <f>SUM(B16:M16)</f>
        <v/>
      </c>
    </row>
    <row r="17">
      <c r="A17" s="7" t="inlineStr">
        <is>
          <t>Broj vedrih dana</t>
        </is>
      </c>
      <c r="B17" s="10" t="n">
        <v>16</v>
      </c>
      <c r="C17" s="10" t="n">
        <v>6</v>
      </c>
      <c r="D17" s="10" t="n">
        <v>9</v>
      </c>
      <c r="E17" s="10" t="n">
        <v>13</v>
      </c>
      <c r="F17" s="10" t="n">
        <v>4</v>
      </c>
      <c r="G17" s="10" t="n">
        <v>8</v>
      </c>
      <c r="H17" s="10" t="n">
        <v>20</v>
      </c>
      <c r="I17" s="10" t="n">
        <v>17</v>
      </c>
      <c r="J17" s="10" t="n">
        <v>15</v>
      </c>
      <c r="K17" s="10" t="n">
        <v>7</v>
      </c>
      <c r="L17" s="10" t="n">
        <v>9</v>
      </c>
      <c r="M17" s="10" t="n">
        <v>3</v>
      </c>
      <c r="N17" s="11">
        <f>SUM(B17:M17)</f>
        <v/>
      </c>
    </row>
    <row r="18">
      <c r="A18" s="7" t="inlineStr">
        <is>
          <t>Broj oblačnih dana</t>
        </is>
      </c>
      <c r="B18" s="10" t="n">
        <v>2</v>
      </c>
      <c r="C18" s="10" t="n">
        <v>4</v>
      </c>
      <c r="D18" s="10" t="n">
        <v>9</v>
      </c>
      <c r="E18" s="10" t="n">
        <v>5</v>
      </c>
      <c r="F18" s="10" t="n">
        <v>8</v>
      </c>
      <c r="G18" s="10" t="n">
        <v>4</v>
      </c>
      <c r="H18" s="10" t="n">
        <v>0</v>
      </c>
      <c r="I18" s="10" t="n">
        <v>0</v>
      </c>
      <c r="J18" s="10" t="n">
        <v>6</v>
      </c>
      <c r="K18" s="10" t="n">
        <v>7</v>
      </c>
      <c r="L18" s="10" t="n">
        <v>5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23.4</v>
      </c>
      <c r="C20" s="8" t="n">
        <v>60.4</v>
      </c>
      <c r="D20" s="8" t="n">
        <v>83.5</v>
      </c>
      <c r="E20" s="8" t="n">
        <v>45.1</v>
      </c>
      <c r="F20" s="8" t="n">
        <v>59.8</v>
      </c>
      <c r="G20" s="8" t="n">
        <v>96.3</v>
      </c>
      <c r="H20" s="8" t="n">
        <v>6.7</v>
      </c>
      <c r="I20" s="8" t="n">
        <v>122.2</v>
      </c>
      <c r="J20" s="8" t="n">
        <v>158</v>
      </c>
      <c r="K20" s="8" t="n">
        <v>219</v>
      </c>
      <c r="L20" s="8" t="n">
        <v>15.6</v>
      </c>
      <c r="M20" s="8" t="n">
        <v>268.6</v>
      </c>
      <c r="N20" s="9">
        <f>SUM(B20:M20)</f>
        <v/>
      </c>
    </row>
    <row r="21">
      <c r="A21" s="7" t="inlineStr">
        <is>
          <t>Max. dnevna suma</t>
        </is>
      </c>
      <c r="B21" s="8" t="n">
        <v>10.9</v>
      </c>
      <c r="C21" s="8" t="n">
        <v>16.4</v>
      </c>
      <c r="D21" s="8" t="n">
        <v>21.6</v>
      </c>
      <c r="E21" s="8" t="n">
        <v>20.8</v>
      </c>
      <c r="F21" s="8" t="n">
        <v>31.1</v>
      </c>
      <c r="G21" s="8" t="n">
        <v>25.4</v>
      </c>
      <c r="H21" s="8" t="n">
        <v>4.9</v>
      </c>
      <c r="I21" s="8" t="n">
        <v>55.5</v>
      </c>
      <c r="J21" s="8" t="n">
        <v>53</v>
      </c>
      <c r="K21" s="8" t="n">
        <v>80.8</v>
      </c>
      <c r="L21" s="8" t="n">
        <v>5.5</v>
      </c>
      <c r="M21" s="8" t="n">
        <v>42.9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10</v>
      </c>
      <c r="D22" s="10" t="n">
        <v>12</v>
      </c>
      <c r="E22" s="10" t="n">
        <v>9</v>
      </c>
      <c r="F22" s="10" t="n">
        <v>13</v>
      </c>
      <c r="G22" s="10" t="n">
        <v>17</v>
      </c>
      <c r="H22" s="10" t="n">
        <v>3</v>
      </c>
      <c r="I22" s="10" t="n">
        <v>9</v>
      </c>
      <c r="J22" s="10" t="n">
        <v>10</v>
      </c>
      <c r="K22" s="10" t="n">
        <v>18</v>
      </c>
      <c r="L22" s="10" t="n">
        <v>9</v>
      </c>
      <c r="M22" s="10" t="n">
        <v>20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3</v>
      </c>
      <c r="D23" s="10" t="n">
        <v>4</v>
      </c>
      <c r="E23" s="10" t="n">
        <v>2</v>
      </c>
      <c r="F23" s="10" t="n">
        <v>1</v>
      </c>
      <c r="G23" s="10" t="n">
        <v>3</v>
      </c>
      <c r="H23" s="10" t="n">
        <v>0</v>
      </c>
      <c r="I23" s="10" t="n">
        <v>4</v>
      </c>
      <c r="J23" s="10" t="n">
        <v>7</v>
      </c>
      <c r="K23" s="10" t="n">
        <v>5</v>
      </c>
      <c r="L23" s="10" t="n">
        <v>0</v>
      </c>
      <c r="M23" s="10" t="n">
        <v>10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1</v>
      </c>
      <c r="D25" s="10" t="n">
        <v>0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1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1</v>
      </c>
      <c r="D26" s="10" t="n">
        <v>0</v>
      </c>
      <c r="E26" s="10" t="n">
        <v>1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1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2021.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4.2</v>
      </c>
      <c r="C6" s="8" t="n">
        <v>6.4</v>
      </c>
      <c r="D6" s="8" t="n">
        <v>6.7</v>
      </c>
      <c r="E6" s="8" t="n">
        <v>9.699999999999999</v>
      </c>
      <c r="F6" s="8" t="n">
        <v>15.9</v>
      </c>
      <c r="G6" s="8" t="n">
        <v>23.1</v>
      </c>
      <c r="H6" s="8" t="n">
        <v>26.5</v>
      </c>
      <c r="I6" s="8" t="n">
        <v>25.3</v>
      </c>
      <c r="J6" s="8" t="n">
        <v>19.9</v>
      </c>
      <c r="K6" s="8" t="n">
        <v>12.8</v>
      </c>
      <c r="L6" s="8" t="n">
        <v>11.1</v>
      </c>
      <c r="M6" s="8" t="n">
        <v>6</v>
      </c>
      <c r="N6" s="9">
        <f>AVERAGE(B6:M6)</f>
        <v/>
      </c>
    </row>
    <row r="7">
      <c r="A7" s="7" t="inlineStr">
        <is>
          <t>Srednja maksimalna</t>
        </is>
      </c>
      <c r="B7" s="8" t="n">
        <v>8.199999999999999</v>
      </c>
      <c r="C7" s="8" t="n">
        <v>12.3</v>
      </c>
      <c r="D7" s="8" t="n">
        <v>12.7</v>
      </c>
      <c r="E7" s="8" t="n">
        <v>15.4</v>
      </c>
      <c r="F7" s="8" t="n">
        <v>21.5</v>
      </c>
      <c r="G7" s="8" t="n">
        <v>29.9</v>
      </c>
      <c r="H7" s="8" t="n">
        <v>33.2</v>
      </c>
      <c r="I7" s="8" t="n">
        <v>32</v>
      </c>
      <c r="J7" s="8" t="n">
        <v>27</v>
      </c>
      <c r="K7" s="8" t="n">
        <v>19</v>
      </c>
      <c r="L7" s="8" t="n">
        <v>15.6</v>
      </c>
      <c r="M7" s="8" t="n">
        <v>9.9</v>
      </c>
      <c r="N7" s="9">
        <f>AVERAGE(B7:M7)</f>
        <v/>
      </c>
    </row>
    <row r="8">
      <c r="A8" s="7" t="inlineStr">
        <is>
          <t>Srednja minimalna</t>
        </is>
      </c>
      <c r="B8" s="8" t="n">
        <v>0.6</v>
      </c>
      <c r="C8" s="8" t="n">
        <v>1.2</v>
      </c>
      <c r="D8" s="8" t="n">
        <v>1.3</v>
      </c>
      <c r="E8" s="8" t="n">
        <v>4.3</v>
      </c>
      <c r="F8" s="8" t="n">
        <v>10.5</v>
      </c>
      <c r="G8" s="8" t="n">
        <v>16.1</v>
      </c>
      <c r="H8" s="8" t="n">
        <v>19.6</v>
      </c>
      <c r="I8" s="8" t="n">
        <v>18.7</v>
      </c>
      <c r="J8" s="8" t="n">
        <v>14.2</v>
      </c>
      <c r="K8" s="8" t="n">
        <v>8.199999999999999</v>
      </c>
      <c r="L8" s="8" t="n">
        <v>7.6</v>
      </c>
      <c r="M8" s="8" t="n">
        <v>2.3</v>
      </c>
      <c r="N8" s="9">
        <f>AVERAGE(B8:M8)</f>
        <v/>
      </c>
    </row>
    <row r="9">
      <c r="A9" s="7" t="inlineStr">
        <is>
          <t>Apsolutni maksimum</t>
        </is>
      </c>
      <c r="B9" s="8" t="n">
        <v>12.4</v>
      </c>
      <c r="C9" s="8" t="n">
        <v>21.3</v>
      </c>
      <c r="D9" s="8" t="n">
        <v>20.9</v>
      </c>
      <c r="E9" s="8" t="n">
        <v>23.1</v>
      </c>
      <c r="F9" s="8" t="n">
        <v>28.6</v>
      </c>
      <c r="G9" s="8" t="n">
        <v>36.9</v>
      </c>
      <c r="H9" s="8" t="n">
        <v>38.7</v>
      </c>
      <c r="I9" s="8" t="n">
        <v>38.3</v>
      </c>
      <c r="J9" s="8" t="n">
        <v>31.4</v>
      </c>
      <c r="K9" s="8" t="n">
        <v>25.2</v>
      </c>
      <c r="L9" s="8" t="n">
        <v>22.4</v>
      </c>
      <c r="M9" s="8" t="n">
        <v>16.3</v>
      </c>
      <c r="N9" s="9">
        <f>MAX(B9:M9)</f>
        <v/>
      </c>
    </row>
    <row r="10">
      <c r="A10" s="7" t="inlineStr">
        <is>
          <t>Apsolutni minimum</t>
        </is>
      </c>
      <c r="B10" s="8" t="n">
        <v>-7</v>
      </c>
      <c r="C10" s="8" t="n">
        <v>-7</v>
      </c>
      <c r="D10" s="8" t="n">
        <v>-2.7</v>
      </c>
      <c r="E10" s="8" t="n">
        <v>-1.7</v>
      </c>
      <c r="F10" s="8" t="n">
        <v>6</v>
      </c>
      <c r="G10" s="8" t="n">
        <v>8.800000000000001</v>
      </c>
      <c r="H10" s="8" t="n">
        <v>16.9</v>
      </c>
      <c r="I10" s="8" t="n">
        <v>11.8</v>
      </c>
      <c r="J10" s="8" t="n">
        <v>8.699999999999999</v>
      </c>
      <c r="K10" s="8" t="n">
        <v>3.4</v>
      </c>
      <c r="L10" s="8" t="n">
        <v>0.3</v>
      </c>
      <c r="M10" s="8" t="n">
        <v>-4.6</v>
      </c>
      <c r="N10" s="9">
        <f>MIN(B10:M10)</f>
        <v/>
      </c>
    </row>
    <row r="11">
      <c r="A11" s="7" t="inlineStr">
        <is>
          <t>Sr. br. mraznih dana</t>
        </is>
      </c>
      <c r="B11" s="10" t="n">
        <v>12</v>
      </c>
      <c r="C11" s="10" t="n">
        <v>10</v>
      </c>
      <c r="D11" s="10" t="n">
        <v>11</v>
      </c>
      <c r="E11" s="10" t="n">
        <v>2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7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13</v>
      </c>
      <c r="H12" s="10" t="n">
        <v>27</v>
      </c>
      <c r="I12" s="10" t="n">
        <v>22</v>
      </c>
      <c r="J12" s="10" t="n">
        <v>3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77.09999999999999</v>
      </c>
      <c r="C14" s="8" t="n">
        <v>71.7</v>
      </c>
      <c r="D14" s="8" t="n">
        <v>64.40000000000001</v>
      </c>
      <c r="E14" s="8" t="n">
        <v>66.90000000000001</v>
      </c>
      <c r="F14" s="8" t="n">
        <v>66.09999999999999</v>
      </c>
      <c r="G14" s="8" t="n">
        <v>51.4</v>
      </c>
      <c r="H14" s="8" t="n">
        <v>46.6</v>
      </c>
      <c r="I14" s="8" t="n">
        <v>49.2</v>
      </c>
      <c r="J14" s="8" t="n">
        <v>59.5</v>
      </c>
      <c r="K14" s="8" t="n">
        <v>66.59999999999999</v>
      </c>
      <c r="L14" s="8" t="n">
        <v>80.40000000000001</v>
      </c>
      <c r="M14" s="8" t="n">
        <v>74.59999999999999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171.3</v>
      </c>
      <c r="C16" s="8" t="n">
        <v>206.6</v>
      </c>
      <c r="D16" s="8" t="n">
        <v>304.6</v>
      </c>
      <c r="E16" s="8" t="n">
        <v>311.6</v>
      </c>
      <c r="F16" s="8" t="n">
        <v>367</v>
      </c>
      <c r="G16" s="8" t="n">
        <v>411.8</v>
      </c>
      <c r="H16" s="8" t="n">
        <v>419</v>
      </c>
      <c r="I16" s="8" t="n">
        <v>397.4</v>
      </c>
      <c r="J16" s="8" t="n">
        <v>339.4</v>
      </c>
      <c r="K16" s="8" t="n">
        <v>268.3</v>
      </c>
      <c r="L16" s="8" t="n">
        <v>147.6</v>
      </c>
      <c r="M16" s="8" t="n">
        <v>160.1</v>
      </c>
      <c r="N16" s="9">
        <f>SUM(B16:M16)</f>
        <v/>
      </c>
    </row>
    <row r="17">
      <c r="A17" s="7" t="inlineStr">
        <is>
          <t>Broj vedrih dana</t>
        </is>
      </c>
      <c r="B17" s="10" t="n">
        <v>2</v>
      </c>
      <c r="C17" s="10" t="n">
        <v>10</v>
      </c>
      <c r="D17" s="10" t="n">
        <v>9</v>
      </c>
      <c r="E17" s="10" t="n">
        <v>5</v>
      </c>
      <c r="F17" s="10" t="n">
        <v>5</v>
      </c>
      <c r="G17" s="10" t="n">
        <v>14</v>
      </c>
      <c r="H17" s="10" t="n">
        <v>18</v>
      </c>
      <c r="I17" s="10" t="n">
        <v>19</v>
      </c>
      <c r="J17" s="10" t="n">
        <v>11</v>
      </c>
      <c r="K17" s="10" t="n">
        <v>9</v>
      </c>
      <c r="L17" s="10" t="n">
        <v>1</v>
      </c>
      <c r="M17" s="10" t="n">
        <v>2</v>
      </c>
      <c r="N17" s="11">
        <f>SUM(B17:M17)</f>
        <v/>
      </c>
    </row>
    <row r="18">
      <c r="A18" s="7" t="inlineStr">
        <is>
          <t>Broj oblačnih dana</t>
        </is>
      </c>
      <c r="B18" s="10" t="n">
        <v>11</v>
      </c>
      <c r="C18" s="10" t="n">
        <v>8</v>
      </c>
      <c r="D18" s="10" t="n">
        <v>6</v>
      </c>
      <c r="E18" s="10" t="n">
        <v>8</v>
      </c>
      <c r="F18" s="10" t="n">
        <v>3</v>
      </c>
      <c r="G18" s="10" t="n">
        <v>1</v>
      </c>
      <c r="H18" s="10" t="n">
        <v>0</v>
      </c>
      <c r="I18" s="10" t="n">
        <v>2</v>
      </c>
      <c r="J18" s="10" t="n">
        <v>1</v>
      </c>
      <c r="K18" s="10" t="n">
        <v>8</v>
      </c>
      <c r="L18" s="10" t="n">
        <v>17</v>
      </c>
      <c r="M18" s="10" t="n">
        <v>12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232.1</v>
      </c>
      <c r="C20" s="8" t="n">
        <v>85.2</v>
      </c>
      <c r="D20" s="8" t="n">
        <v>42.4</v>
      </c>
      <c r="E20" s="8" t="n">
        <v>99.09999999999999</v>
      </c>
      <c r="F20" s="8" t="n">
        <v>64</v>
      </c>
      <c r="G20" s="8" t="n">
        <v>1.8</v>
      </c>
      <c r="H20" s="8" t="n">
        <v>13.9</v>
      </c>
      <c r="I20" s="8" t="n">
        <v>64.8</v>
      </c>
      <c r="J20" s="8" t="n">
        <v>29.1</v>
      </c>
      <c r="K20" s="8" t="n">
        <v>158.8</v>
      </c>
      <c r="L20" s="8" t="n">
        <v>464.7</v>
      </c>
      <c r="M20" s="8" t="n">
        <v>236.6</v>
      </c>
      <c r="N20" s="9">
        <f>SUM(B20:M20)</f>
        <v/>
      </c>
    </row>
    <row r="21">
      <c r="A21" s="7" t="inlineStr">
        <is>
          <t>Max. dnevna suma</t>
        </is>
      </c>
      <c r="B21" s="8" t="n">
        <v>29.6</v>
      </c>
      <c r="C21" s="8" t="n">
        <v>22.4</v>
      </c>
      <c r="D21" s="8" t="n">
        <v>15.1</v>
      </c>
      <c r="E21" s="8" t="n">
        <v>31.1</v>
      </c>
      <c r="F21" s="8" t="n">
        <v>13.3</v>
      </c>
      <c r="G21" s="8" t="n">
        <v>1</v>
      </c>
      <c r="H21" s="8" t="n">
        <v>7.1</v>
      </c>
      <c r="I21" s="8" t="n">
        <v>34.5</v>
      </c>
      <c r="J21" s="8" t="n">
        <v>12.9</v>
      </c>
      <c r="K21" s="8" t="n">
        <v>42.8</v>
      </c>
      <c r="L21" s="8" t="n">
        <v>80.90000000000001</v>
      </c>
      <c r="M21" s="8" t="n">
        <v>59.5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26</v>
      </c>
      <c r="C22" s="10" t="n">
        <v>11</v>
      </c>
      <c r="D22" s="10" t="n">
        <v>10</v>
      </c>
      <c r="E22" s="10" t="n">
        <v>18</v>
      </c>
      <c r="F22" s="10" t="n">
        <v>17</v>
      </c>
      <c r="G22" s="10" t="n">
        <v>3</v>
      </c>
      <c r="H22" s="10" t="n">
        <v>6</v>
      </c>
      <c r="I22" s="10" t="n">
        <v>9</v>
      </c>
      <c r="J22" s="10" t="n">
        <v>9</v>
      </c>
      <c r="K22" s="10" t="n">
        <v>13</v>
      </c>
      <c r="L22" s="10" t="n">
        <v>21</v>
      </c>
      <c r="M22" s="10" t="n">
        <v>16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7</v>
      </c>
      <c r="C23" s="10" t="n">
        <v>4</v>
      </c>
      <c r="D23" s="10" t="n">
        <v>1</v>
      </c>
      <c r="E23" s="10" t="n">
        <v>4</v>
      </c>
      <c r="F23" s="10" t="n">
        <v>2</v>
      </c>
      <c r="G23" s="10" t="n">
        <v>0</v>
      </c>
      <c r="H23" s="10" t="n">
        <v>0</v>
      </c>
      <c r="I23" s="10" t="n">
        <v>2</v>
      </c>
      <c r="J23" s="10" t="n">
        <v>1</v>
      </c>
      <c r="K23" s="10" t="n">
        <v>5</v>
      </c>
      <c r="L23" s="10" t="n">
        <v>14</v>
      </c>
      <c r="M23" s="10" t="n">
        <v>8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1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2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1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2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2022.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3.3</v>
      </c>
      <c r="C6" s="8" t="n">
        <v>6</v>
      </c>
      <c r="D6" s="8" t="n">
        <v>6.1</v>
      </c>
      <c r="E6" s="8" t="n">
        <v>11</v>
      </c>
      <c r="F6" s="8" t="n">
        <v>18.2</v>
      </c>
      <c r="G6" s="8" t="n">
        <v>24.3</v>
      </c>
      <c r="H6" s="8" t="n">
        <v>27.1</v>
      </c>
      <c r="I6" s="8" t="n">
        <v>25.6</v>
      </c>
      <c r="J6" s="8" t="n">
        <v>18.4</v>
      </c>
      <c r="K6" s="8" t="n">
        <v>15.3</v>
      </c>
      <c r="L6" s="8" t="n">
        <v>10.6</v>
      </c>
      <c r="M6" s="8" t="n">
        <v>8.5</v>
      </c>
      <c r="N6" s="9">
        <f>AVERAGE(B6:M6)</f>
        <v/>
      </c>
    </row>
    <row r="7">
      <c r="A7" s="7" t="inlineStr">
        <is>
          <t>Srednja maksimalna</t>
        </is>
      </c>
      <c r="B7" s="8" t="n">
        <v>9.1</v>
      </c>
      <c r="C7" s="8" t="n">
        <v>12</v>
      </c>
      <c r="D7" s="8" t="n">
        <v>12.9</v>
      </c>
      <c r="E7" s="8" t="n">
        <v>16.7</v>
      </c>
      <c r="F7" s="8" t="n">
        <v>24.9</v>
      </c>
      <c r="G7" s="8" t="n">
        <v>30.9</v>
      </c>
      <c r="H7" s="8" t="n">
        <v>34.1</v>
      </c>
      <c r="I7" s="8" t="n">
        <v>32.6</v>
      </c>
      <c r="J7" s="8" t="n">
        <v>24.6</v>
      </c>
      <c r="K7" s="8" t="n">
        <v>23</v>
      </c>
      <c r="L7" s="8" t="n">
        <v>15.6</v>
      </c>
      <c r="M7" s="8" t="n">
        <v>12.6</v>
      </c>
      <c r="N7" s="9">
        <f>AVERAGE(B7:M7)</f>
        <v/>
      </c>
    </row>
    <row r="8">
      <c r="A8" s="7" t="inlineStr">
        <is>
          <t>Srednja minimalna</t>
        </is>
      </c>
      <c r="B8" s="8" t="n">
        <v>-1.3</v>
      </c>
      <c r="C8" s="8" t="n">
        <v>1</v>
      </c>
      <c r="D8" s="8" t="n">
        <v>0.3</v>
      </c>
      <c r="E8" s="8" t="n">
        <v>5.6</v>
      </c>
      <c r="F8" s="8" t="n">
        <v>11.8</v>
      </c>
      <c r="G8" s="8" t="n">
        <v>17.8</v>
      </c>
      <c r="H8" s="8" t="n">
        <v>19.9</v>
      </c>
      <c r="I8" s="8" t="n">
        <v>19.2</v>
      </c>
      <c r="J8" s="8" t="n">
        <v>13.4</v>
      </c>
      <c r="K8" s="8" t="n">
        <v>9.4</v>
      </c>
      <c r="L8" s="8" t="n">
        <v>6.3</v>
      </c>
      <c r="M8" s="8" t="n">
        <v>5</v>
      </c>
      <c r="N8" s="9">
        <f>AVERAGE(B8:M8)</f>
        <v/>
      </c>
    </row>
    <row r="9">
      <c r="A9" s="7" t="inlineStr">
        <is>
          <t>Apsolutni maksimum</t>
        </is>
      </c>
      <c r="B9" s="8" t="n">
        <v>17.1</v>
      </c>
      <c r="C9" s="8" t="n">
        <v>15.4</v>
      </c>
      <c r="D9" s="8" t="n">
        <v>21.5</v>
      </c>
      <c r="E9" s="8" t="n">
        <v>22.5</v>
      </c>
      <c r="F9" s="8" t="n">
        <v>31.2</v>
      </c>
      <c r="G9" s="8" t="n">
        <v>37.7</v>
      </c>
      <c r="H9" s="8" t="n">
        <v>38.6</v>
      </c>
      <c r="I9" s="8" t="n">
        <v>39.5</v>
      </c>
      <c r="J9" s="8" t="n">
        <v>31.7</v>
      </c>
      <c r="K9" s="8" t="n">
        <v>26.9</v>
      </c>
      <c r="L9" s="8" t="n">
        <v>25</v>
      </c>
      <c r="M9" s="8" t="n">
        <v>16.2</v>
      </c>
      <c r="N9" s="9">
        <f>MAX(B9:M9)</f>
        <v/>
      </c>
    </row>
    <row r="10">
      <c r="A10" s="7" t="inlineStr">
        <is>
          <t>Apsolutni minimum</t>
        </is>
      </c>
      <c r="B10" s="8" t="n">
        <v>-6.5</v>
      </c>
      <c r="C10" s="8" t="n">
        <v>-4.4</v>
      </c>
      <c r="D10" s="8" t="n">
        <v>-5.7</v>
      </c>
      <c r="E10" s="8" t="n">
        <v>-0.5</v>
      </c>
      <c r="F10" s="8" t="n">
        <v>5.8</v>
      </c>
      <c r="G10" s="8" t="n">
        <v>14.2</v>
      </c>
      <c r="H10" s="8" t="n">
        <v>16</v>
      </c>
      <c r="I10" s="8" t="n">
        <v>14.3</v>
      </c>
      <c r="J10" s="8" t="n">
        <v>5.7</v>
      </c>
      <c r="K10" s="8" t="n">
        <v>5.7</v>
      </c>
      <c r="L10" s="8" t="n">
        <v>-0.4</v>
      </c>
      <c r="M10" s="8" t="n">
        <v>-1</v>
      </c>
      <c r="N10" s="9">
        <f>MIN(B10:M10)</f>
        <v/>
      </c>
    </row>
    <row r="11">
      <c r="A11" s="7" t="inlineStr">
        <is>
          <t>Sr. br. mraznih dana</t>
        </is>
      </c>
      <c r="B11" s="10" t="n">
        <v>21</v>
      </c>
      <c r="C11" s="10" t="n">
        <v>10</v>
      </c>
      <c r="D11" s="10" t="n">
        <v>15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</v>
      </c>
      <c r="M11" s="10" t="n">
        <v>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1</v>
      </c>
      <c r="G12" s="10" t="n">
        <v>21</v>
      </c>
      <c r="H12" s="10" t="n">
        <v>26</v>
      </c>
      <c r="I12" s="10" t="n">
        <v>24</v>
      </c>
      <c r="J12" s="10" t="n">
        <v>4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67.2</v>
      </c>
      <c r="C14" s="8" t="n">
        <v>71.40000000000001</v>
      </c>
      <c r="D14" s="8" t="n">
        <v>57.5</v>
      </c>
      <c r="E14" s="8" t="n">
        <v>67.8</v>
      </c>
      <c r="F14" s="8" t="n">
        <v>66.09999999999999</v>
      </c>
      <c r="G14" s="8" t="n">
        <v>55.9</v>
      </c>
      <c r="H14" s="8" t="n">
        <v>40.1</v>
      </c>
      <c r="I14" s="8" t="n">
        <v>50.3</v>
      </c>
      <c r="J14" s="8" t="n">
        <v>66</v>
      </c>
      <c r="K14" s="8" t="n">
        <v>70.8</v>
      </c>
      <c r="L14" s="8" t="n">
        <v>78</v>
      </c>
      <c r="M14" s="8" t="n">
        <v>85.40000000000001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222.5</v>
      </c>
      <c r="C16" s="8" t="n">
        <v>210.2</v>
      </c>
      <c r="D16" s="8" t="n">
        <v>304</v>
      </c>
      <c r="E16" s="8" t="n">
        <v>304.1</v>
      </c>
      <c r="F16" s="8" t="n">
        <v>381.1</v>
      </c>
      <c r="G16" s="8" t="n">
        <v>400.2</v>
      </c>
      <c r="H16" s="8" t="n">
        <v>416.4</v>
      </c>
      <c r="I16" s="8" t="n">
        <v>384.7</v>
      </c>
      <c r="J16" s="8" t="n">
        <v>282</v>
      </c>
      <c r="K16" s="8" t="n">
        <v>300.2</v>
      </c>
      <c r="L16" s="8" t="n">
        <v>172.6</v>
      </c>
      <c r="M16" s="8" t="n">
        <v>151.2</v>
      </c>
      <c r="N16" s="9">
        <f>SUM(B16:M16)</f>
        <v/>
      </c>
    </row>
    <row r="17">
      <c r="A17" s="7" t="inlineStr">
        <is>
          <t>Broj vedrih dana</t>
        </is>
      </c>
      <c r="B17" s="10" t="n">
        <v>10</v>
      </c>
      <c r="C17" s="10" t="n">
        <v>6</v>
      </c>
      <c r="D17" s="10" t="n">
        <v>15</v>
      </c>
      <c r="E17" s="10" t="n">
        <v>8</v>
      </c>
      <c r="F17" s="10" t="n">
        <v>6</v>
      </c>
      <c r="G17" s="10" t="n">
        <v>13</v>
      </c>
      <c r="H17" s="10" t="n">
        <v>24</v>
      </c>
      <c r="I17" s="10" t="n">
        <v>10</v>
      </c>
      <c r="J17" s="10" t="n">
        <v>8</v>
      </c>
      <c r="K17" s="10" t="n">
        <v>12</v>
      </c>
      <c r="L17" s="10" t="n">
        <v>2</v>
      </c>
      <c r="M17" s="10" t="n">
        <v>1</v>
      </c>
      <c r="N17" s="11">
        <f>SUM(B17:M17)</f>
        <v/>
      </c>
    </row>
    <row r="18">
      <c r="A18" s="7" t="inlineStr">
        <is>
          <t>Broj oblačnih dana</t>
        </is>
      </c>
      <c r="B18" s="10" t="n">
        <v>8</v>
      </c>
      <c r="C18" s="10" t="n">
        <v>9</v>
      </c>
      <c r="D18" s="10" t="n">
        <v>7</v>
      </c>
      <c r="E18" s="10" t="n">
        <v>7</v>
      </c>
      <c r="F18" s="10" t="n">
        <v>2</v>
      </c>
      <c r="G18" s="10" t="n">
        <v>1</v>
      </c>
      <c r="H18" s="10" t="n">
        <v>1</v>
      </c>
      <c r="I18" s="10" t="n">
        <v>2</v>
      </c>
      <c r="J18" s="10" t="n">
        <v>8</v>
      </c>
      <c r="K18" s="10" t="n">
        <v>9</v>
      </c>
      <c r="L18" s="10" t="n">
        <v>13</v>
      </c>
      <c r="M18" s="10" t="n">
        <v>16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32.7</v>
      </c>
      <c r="C20" s="8" t="n">
        <v>122.6</v>
      </c>
      <c r="D20" s="8" t="n">
        <v>47.5</v>
      </c>
      <c r="E20" s="8" t="n">
        <v>199.6</v>
      </c>
      <c r="F20" s="8" t="n">
        <v>75.09999999999999</v>
      </c>
      <c r="G20" s="8" t="n">
        <v>56.6</v>
      </c>
      <c r="H20" s="8" t="n">
        <v>23.9</v>
      </c>
      <c r="I20" s="8" t="n">
        <v>41.6</v>
      </c>
      <c r="J20" s="8" t="n">
        <v>492.6</v>
      </c>
      <c r="K20" s="8" t="n">
        <v>24.8</v>
      </c>
      <c r="L20" s="8" t="n">
        <v>301</v>
      </c>
      <c r="M20" s="8" t="n">
        <v>330.7</v>
      </c>
      <c r="N20" s="9">
        <f>SUM(B20:M20)</f>
        <v/>
      </c>
    </row>
    <row r="21">
      <c r="A21" s="7" t="inlineStr">
        <is>
          <t>Max. dnevna suma</t>
        </is>
      </c>
      <c r="B21" s="8" t="n">
        <v>17.2</v>
      </c>
      <c r="C21" s="8" t="n">
        <v>33.1</v>
      </c>
      <c r="D21" s="8" t="n">
        <v>35.9</v>
      </c>
      <c r="E21" s="8" t="n">
        <v>72.09999999999999</v>
      </c>
      <c r="F21" s="8" t="n">
        <v>21.6</v>
      </c>
      <c r="G21" s="8" t="n">
        <v>43.4</v>
      </c>
      <c r="H21" s="8" t="n">
        <v>13.4</v>
      </c>
      <c r="I21" s="8" t="n">
        <v>20.1</v>
      </c>
      <c r="J21" s="8" t="n">
        <v>114.1</v>
      </c>
      <c r="K21" s="8" t="n">
        <v>16.8</v>
      </c>
      <c r="L21" s="8" t="n">
        <v>58.5</v>
      </c>
      <c r="M21" s="8" t="n">
        <v>60.3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9</v>
      </c>
      <c r="C22" s="10" t="n">
        <v>12</v>
      </c>
      <c r="D22" s="10" t="n">
        <v>6</v>
      </c>
      <c r="E22" s="10" t="n">
        <v>17</v>
      </c>
      <c r="F22" s="10" t="n">
        <v>15</v>
      </c>
      <c r="G22" s="10" t="n">
        <v>9</v>
      </c>
      <c r="H22" s="10" t="n">
        <v>4</v>
      </c>
      <c r="I22" s="10" t="n">
        <v>12</v>
      </c>
      <c r="J22" s="10" t="n">
        <v>17</v>
      </c>
      <c r="K22" s="10" t="n">
        <v>3</v>
      </c>
      <c r="L22" s="10" t="n">
        <v>13</v>
      </c>
      <c r="M22" s="10" t="n">
        <v>21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1</v>
      </c>
      <c r="C23" s="10" t="n">
        <v>5</v>
      </c>
      <c r="D23" s="10" t="n">
        <v>2</v>
      </c>
      <c r="E23" s="10" t="n">
        <v>6</v>
      </c>
      <c r="F23" s="10" t="n">
        <v>4</v>
      </c>
      <c r="G23" s="10" t="n">
        <v>1</v>
      </c>
      <c r="H23" s="10" t="n">
        <v>1</v>
      </c>
      <c r="I23" s="10" t="n">
        <v>1</v>
      </c>
      <c r="J23" s="10" t="n">
        <v>7</v>
      </c>
      <c r="K23" s="10" t="n">
        <v>1</v>
      </c>
      <c r="L23" s="10" t="n">
        <v>9</v>
      </c>
      <c r="M23" s="10" t="n">
        <v>10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3</v>
      </c>
      <c r="D25" s="10" t="n">
        <v>2</v>
      </c>
      <c r="E25" s="10" t="n">
        <v>2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3</v>
      </c>
      <c r="D26" s="10" t="n">
        <v>2</v>
      </c>
      <c r="E26" s="10" t="n">
        <v>2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2023.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5.7</v>
      </c>
      <c r="C6" s="8" t="n">
        <v>4.5</v>
      </c>
      <c r="D6" s="8" t="n">
        <v>8.6</v>
      </c>
      <c r="E6" s="8" t="n">
        <v>10.7</v>
      </c>
      <c r="F6" s="8" t="n">
        <v>17</v>
      </c>
      <c r="G6" s="8" t="n">
        <v>21.3</v>
      </c>
      <c r="H6" s="8" t="n">
        <v>25.8</v>
      </c>
      <c r="I6" s="8" t="n">
        <v>24.4</v>
      </c>
      <c r="J6" s="8" t="n">
        <v>21.5</v>
      </c>
      <c r="K6" s="8" t="n">
        <v>17</v>
      </c>
      <c r="L6" s="8" t="n">
        <v>10</v>
      </c>
      <c r="M6" s="8" t="n">
        <v>6.9</v>
      </c>
      <c r="N6" s="9">
        <f>AVERAGE(B6:M6)</f>
        <v/>
      </c>
    </row>
    <row r="7">
      <c r="A7" s="7" t="inlineStr">
        <is>
          <t>Srednja maksimalna</t>
        </is>
      </c>
      <c r="B7" s="8" t="n">
        <v>10.7</v>
      </c>
      <c r="C7" s="8" t="n">
        <v>10.8</v>
      </c>
      <c r="D7" s="8" t="n">
        <v>14.7</v>
      </c>
      <c r="E7" s="8" t="n">
        <v>16.3</v>
      </c>
      <c r="F7" s="8" t="n">
        <v>22.5</v>
      </c>
      <c r="G7" s="8" t="n">
        <v>27</v>
      </c>
      <c r="H7" s="8" t="n">
        <v>32.7</v>
      </c>
      <c r="I7" s="8" t="n">
        <v>30.9</v>
      </c>
      <c r="J7" s="8" t="n">
        <v>28.4</v>
      </c>
      <c r="K7" s="8" t="n">
        <v>23.4</v>
      </c>
      <c r="L7" s="8" t="n">
        <v>14.3</v>
      </c>
      <c r="M7" s="8" t="n">
        <v>11.8</v>
      </c>
      <c r="N7" s="9">
        <f>AVERAGE(B7:M7)</f>
        <v/>
      </c>
    </row>
    <row r="8">
      <c r="A8" s="7" t="inlineStr">
        <is>
          <t>Srednja minimalna</t>
        </is>
      </c>
      <c r="B8" s="8" t="n">
        <v>1.9</v>
      </c>
      <c r="C8" s="8" t="n">
        <v>-0.5</v>
      </c>
      <c r="D8" s="8" t="n">
        <v>3.4</v>
      </c>
      <c r="E8" s="8" t="n">
        <v>5.6</v>
      </c>
      <c r="F8" s="8" t="n">
        <v>12.2</v>
      </c>
      <c r="G8" s="8" t="n">
        <v>15.9</v>
      </c>
      <c r="H8" s="8" t="n">
        <v>19</v>
      </c>
      <c r="I8" s="8" t="n">
        <v>18.3</v>
      </c>
      <c r="J8" s="8" t="n">
        <v>16</v>
      </c>
      <c r="K8" s="8" t="n">
        <v>12</v>
      </c>
      <c r="L8" s="8" t="n">
        <v>5.6</v>
      </c>
      <c r="M8" s="8" t="n">
        <v>2.8</v>
      </c>
      <c r="N8" s="9">
        <f>AVERAGE(B8:M8)</f>
        <v/>
      </c>
    </row>
    <row r="9">
      <c r="A9" s="7" t="inlineStr">
        <is>
          <t>Apsolutni maksimum</t>
        </is>
      </c>
      <c r="B9" s="8" t="n">
        <v>14.3</v>
      </c>
      <c r="C9" s="8" t="n">
        <v>16.1</v>
      </c>
      <c r="D9" s="8" t="n">
        <v>20.2</v>
      </c>
      <c r="E9" s="8" t="n">
        <v>22.2</v>
      </c>
      <c r="F9" s="8" t="n">
        <v>26.8</v>
      </c>
      <c r="G9" s="8" t="n">
        <v>33.3</v>
      </c>
      <c r="H9" s="8" t="n">
        <v>38.3</v>
      </c>
      <c r="I9" s="8" t="n">
        <v>38.3</v>
      </c>
      <c r="J9" s="8" t="n">
        <v>31.6</v>
      </c>
      <c r="K9" s="8" t="n">
        <v>27.4</v>
      </c>
      <c r="L9" s="8" t="n">
        <v>19.6</v>
      </c>
      <c r="M9" s="8" t="n">
        <v>18.1</v>
      </c>
      <c r="N9" s="9">
        <f>MAX(B9:M9)</f>
        <v/>
      </c>
    </row>
    <row r="10">
      <c r="A10" s="7" t="inlineStr">
        <is>
          <t>Apsolutni minimum</t>
        </is>
      </c>
      <c r="B10" s="8" t="n">
        <v>-3.7</v>
      </c>
      <c r="C10" s="8" t="n">
        <v>-5.8</v>
      </c>
      <c r="D10" s="8" t="n">
        <v>-1.2</v>
      </c>
      <c r="E10" s="8" t="n">
        <v>-1</v>
      </c>
      <c r="F10" s="8" t="n">
        <v>9.199999999999999</v>
      </c>
      <c r="G10" s="8" t="n">
        <v>12.5</v>
      </c>
      <c r="H10" s="8" t="n">
        <v>15.3</v>
      </c>
      <c r="I10" s="8" t="n">
        <v>13</v>
      </c>
      <c r="J10" s="8" t="n">
        <v>12.1</v>
      </c>
      <c r="K10" s="8" t="n">
        <v>6.2</v>
      </c>
      <c r="L10" s="8" t="n">
        <v>-3.5</v>
      </c>
      <c r="M10" s="8" t="n">
        <v>-2.6</v>
      </c>
      <c r="N10" s="9">
        <f>MIN(B10:M10)</f>
        <v/>
      </c>
    </row>
    <row r="11">
      <c r="A11" s="7" t="inlineStr">
        <is>
          <t>Sr. br. mraznih dana</t>
        </is>
      </c>
      <c r="B11" s="10" t="n">
        <v>6</v>
      </c>
      <c r="C11" s="10" t="n">
        <v>15</v>
      </c>
      <c r="D11" s="10" t="n">
        <v>3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6</v>
      </c>
      <c r="H12" s="10" t="n">
        <v>27</v>
      </c>
      <c r="I12" s="10" t="n">
        <v>20</v>
      </c>
      <c r="J12" s="10" t="n">
        <v>9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78.5</v>
      </c>
      <c r="C14" s="8" t="n">
        <v>70.8</v>
      </c>
      <c r="D14" s="8" t="n">
        <v>70.8</v>
      </c>
      <c r="E14" s="8" t="n">
        <v>68.90000000000001</v>
      </c>
      <c r="F14" s="8" t="n">
        <v>72</v>
      </c>
      <c r="G14" s="8" t="n">
        <v>68.7</v>
      </c>
      <c r="H14" s="8" t="n">
        <v>56.3</v>
      </c>
      <c r="I14" s="8" t="n">
        <v>58.6</v>
      </c>
      <c r="J14" s="8" t="n">
        <v>62.5</v>
      </c>
      <c r="K14" s="8" t="n">
        <v>72.59999999999999</v>
      </c>
      <c r="L14" s="8" t="n">
        <v>79.90000000000001</v>
      </c>
      <c r="M14" s="8" t="n">
        <v>80.40000000000001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196.2</v>
      </c>
      <c r="C16" s="8" t="n">
        <v>236</v>
      </c>
      <c r="D16" s="8" t="n">
        <v>291.2</v>
      </c>
      <c r="E16" s="8" t="n">
        <v>296.1</v>
      </c>
      <c r="F16" s="8" t="n">
        <v>336.3</v>
      </c>
      <c r="G16" s="8" t="n">
        <v>365.9</v>
      </c>
      <c r="H16" s="8" t="n">
        <v>423.4</v>
      </c>
      <c r="I16" s="8" t="n">
        <v>400.8</v>
      </c>
      <c r="J16" s="8" t="n">
        <v>326.4</v>
      </c>
      <c r="K16" s="8" t="n">
        <v>277.7</v>
      </c>
      <c r="L16" s="8" t="n">
        <v>163.3</v>
      </c>
      <c r="M16" s="8" t="n">
        <v>186</v>
      </c>
      <c r="N16" s="9">
        <f>SUM(B16:M16)</f>
        <v/>
      </c>
    </row>
    <row r="17">
      <c r="A17" s="7" t="inlineStr">
        <is>
          <t>Broj vedrih dana</t>
        </is>
      </c>
      <c r="B17" s="10" t="n">
        <v>4</v>
      </c>
      <c r="C17" s="10" t="n">
        <v>7</v>
      </c>
      <c r="D17" s="10" t="n">
        <v>3</v>
      </c>
      <c r="E17" s="10" t="n">
        <v>1</v>
      </c>
      <c r="F17" s="10" t="n">
        <v>3</v>
      </c>
      <c r="G17" s="10" t="n">
        <v>8</v>
      </c>
      <c r="H17" s="10" t="n">
        <v>24</v>
      </c>
      <c r="I17" s="10" t="n">
        <v>17</v>
      </c>
      <c r="J17" s="10" t="n">
        <v>15</v>
      </c>
      <c r="K17" s="10" t="n">
        <v>9</v>
      </c>
      <c r="L17" s="10" t="n">
        <v>2</v>
      </c>
      <c r="M17" s="10" t="n">
        <v>4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5</v>
      </c>
      <c r="D18" s="10" t="n">
        <v>7</v>
      </c>
      <c r="E18" s="10" t="n">
        <v>9</v>
      </c>
      <c r="F18" s="10" t="n">
        <v>8</v>
      </c>
      <c r="G18" s="10" t="n">
        <v>6</v>
      </c>
      <c r="H18" s="10" t="n">
        <v>0</v>
      </c>
      <c r="I18" s="10" t="n">
        <v>1</v>
      </c>
      <c r="J18" s="10" t="n">
        <v>1</v>
      </c>
      <c r="K18" s="10" t="n">
        <v>6</v>
      </c>
      <c r="L18" s="10" t="n">
        <v>13</v>
      </c>
      <c r="M18" s="10" t="n">
        <v>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317.4</v>
      </c>
      <c r="C20" s="8" t="n">
        <v>114.2</v>
      </c>
      <c r="D20" s="8" t="n">
        <v>109.1</v>
      </c>
      <c r="E20" s="8" t="n">
        <v>144.9</v>
      </c>
      <c r="F20" s="8" t="n">
        <v>224.1</v>
      </c>
      <c r="G20" s="8" t="n">
        <v>72.40000000000001</v>
      </c>
      <c r="H20" s="8" t="n">
        <v>57</v>
      </c>
      <c r="I20" s="8" t="n">
        <v>136.8</v>
      </c>
      <c r="J20" s="8" t="n">
        <v>50.6</v>
      </c>
      <c r="K20" s="8" t="n">
        <v>187.3</v>
      </c>
      <c r="L20" s="8" t="n">
        <v>299.2</v>
      </c>
      <c r="M20" s="8" t="n">
        <v>68.59999999999999</v>
      </c>
      <c r="N20" s="9">
        <f>SUM(B20:M20)</f>
        <v/>
      </c>
    </row>
    <row r="21">
      <c r="A21" s="7" t="inlineStr">
        <is>
          <t>Max. dnevna suma</t>
        </is>
      </c>
      <c r="B21" s="8" t="n">
        <v>60.3</v>
      </c>
      <c r="C21" s="8" t="n">
        <v>64.5</v>
      </c>
      <c r="D21" s="8" t="n">
        <v>27.4</v>
      </c>
      <c r="E21" s="8" t="n">
        <v>28.4</v>
      </c>
      <c r="F21" s="8" t="n">
        <v>53.7</v>
      </c>
      <c r="G21" s="8" t="n">
        <v>38.4</v>
      </c>
      <c r="H21" s="8" t="n">
        <v>44.3</v>
      </c>
      <c r="I21" s="8" t="n">
        <v>41.5</v>
      </c>
      <c r="J21" s="8" t="n">
        <v>29.2</v>
      </c>
      <c r="K21" s="8" t="n">
        <v>77.5</v>
      </c>
      <c r="L21" s="8" t="n">
        <v>44.6</v>
      </c>
      <c r="M21" s="8" t="n">
        <v>16.5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14</v>
      </c>
      <c r="C22" s="10" t="n">
        <v>10</v>
      </c>
      <c r="D22" s="10" t="n">
        <v>17</v>
      </c>
      <c r="E22" s="10" t="n">
        <v>18</v>
      </c>
      <c r="F22" s="10" t="n">
        <v>22</v>
      </c>
      <c r="G22" s="10" t="n">
        <v>16</v>
      </c>
      <c r="H22" s="10" t="n">
        <v>7</v>
      </c>
      <c r="I22" s="10" t="n">
        <v>13</v>
      </c>
      <c r="J22" s="10" t="n">
        <v>9</v>
      </c>
      <c r="K22" s="10" t="n">
        <v>15</v>
      </c>
      <c r="L22" s="10" t="n">
        <v>22</v>
      </c>
      <c r="M22" s="10" t="n">
        <v>14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8</v>
      </c>
      <c r="C23" s="10" t="n">
        <v>3</v>
      </c>
      <c r="D23" s="10" t="n">
        <v>6</v>
      </c>
      <c r="E23" s="10" t="n">
        <v>5</v>
      </c>
      <c r="F23" s="10" t="n">
        <v>7</v>
      </c>
      <c r="G23" s="10" t="n">
        <v>1</v>
      </c>
      <c r="H23" s="10" t="n">
        <v>1</v>
      </c>
      <c r="I23" s="10" t="n">
        <v>5</v>
      </c>
      <c r="J23" s="10" t="n">
        <v>1</v>
      </c>
      <c r="K23" s="10" t="n">
        <v>5</v>
      </c>
      <c r="L23" s="10" t="n">
        <v>13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3</v>
      </c>
      <c r="C25" s="10" t="n">
        <v>0</v>
      </c>
      <c r="D25" s="10" t="n">
        <v>1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3</v>
      </c>
      <c r="C26" s="10" t="n">
        <v>0</v>
      </c>
      <c r="D26" s="10" t="n">
        <v>1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2024.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4.9</v>
      </c>
      <c r="C6" s="8" t="n">
        <v>8.300000000000001</v>
      </c>
      <c r="D6" s="8" t="n">
        <v>10.3</v>
      </c>
      <c r="E6" s="8" t="n">
        <v>13.8</v>
      </c>
      <c r="F6" s="8" t="n">
        <v>17.1</v>
      </c>
      <c r="G6" s="8" t="n">
        <v>22.8</v>
      </c>
      <c r="H6" s="8" t="n">
        <v>26.8</v>
      </c>
      <c r="I6" s="8" t="n">
        <v>27.3</v>
      </c>
      <c r="J6" s="8" t="n">
        <v>19.3</v>
      </c>
      <c r="K6" s="8" t="n">
        <v>15.8</v>
      </c>
      <c r="L6" s="8" t="n">
        <v>8.1</v>
      </c>
      <c r="M6" s="8" t="n">
        <v>5.5</v>
      </c>
      <c r="N6" s="9">
        <f>AVERAGE(B6:M6)</f>
        <v/>
      </c>
    </row>
    <row r="7">
      <c r="A7" s="7" t="inlineStr">
        <is>
          <t>Srednja maksimalna</t>
        </is>
      </c>
      <c r="B7" s="8" t="n">
        <v>10.4</v>
      </c>
      <c r="C7" s="8" t="n">
        <v>14.1</v>
      </c>
      <c r="D7" s="8" t="n">
        <v>15.7</v>
      </c>
      <c r="E7" s="8" t="n">
        <v>20.2</v>
      </c>
      <c r="F7" s="8" t="n">
        <v>22.8</v>
      </c>
      <c r="G7" s="8" t="n">
        <v>29.1</v>
      </c>
      <c r="H7" s="8" t="n">
        <v>33.5</v>
      </c>
      <c r="I7" s="8" t="n">
        <v>34.7</v>
      </c>
      <c r="J7" s="8" t="n">
        <v>25</v>
      </c>
      <c r="K7" s="8" t="n">
        <v>21.8</v>
      </c>
      <c r="L7" s="8" t="n">
        <v>14.2</v>
      </c>
      <c r="M7" s="8" t="n">
        <v>10.4</v>
      </c>
      <c r="N7" s="9">
        <f>AVERAGE(B7:M7)</f>
        <v/>
      </c>
    </row>
    <row r="8">
      <c r="A8" s="7" t="inlineStr">
        <is>
          <t>Srednja minimalna</t>
        </is>
      </c>
      <c r="B8" s="8" t="n">
        <v>0.3</v>
      </c>
      <c r="C8" s="8" t="n">
        <v>3.6</v>
      </c>
      <c r="D8" s="8" t="n">
        <v>5.2</v>
      </c>
      <c r="E8" s="8" t="n">
        <v>7.6</v>
      </c>
      <c r="F8" s="8" t="n">
        <v>12</v>
      </c>
      <c r="G8" s="8" t="n">
        <v>16.7</v>
      </c>
      <c r="H8" s="8" t="n">
        <v>20</v>
      </c>
      <c r="I8" s="8" t="n">
        <v>20.3</v>
      </c>
      <c r="J8" s="8" t="n">
        <v>14.5</v>
      </c>
      <c r="K8" s="8" t="n">
        <v>11</v>
      </c>
      <c r="L8" s="8" t="n">
        <v>3.6</v>
      </c>
      <c r="M8" s="8" t="n">
        <v>1.9</v>
      </c>
      <c r="N8" s="9">
        <f>AVERAGE(B8:M8)</f>
        <v/>
      </c>
    </row>
    <row r="9">
      <c r="A9" s="7" t="inlineStr">
        <is>
          <t>Apsolutni maksimum</t>
        </is>
      </c>
      <c r="B9" s="8" t="n">
        <v>16.5</v>
      </c>
      <c r="C9" s="8" t="n">
        <v>19.7</v>
      </c>
      <c r="D9" s="8" t="n">
        <v>20.6</v>
      </c>
      <c r="E9" s="8" t="n">
        <v>26.5</v>
      </c>
      <c r="F9" s="8" t="n">
        <v>26.4</v>
      </c>
      <c r="G9" s="8" t="n">
        <v>36.5</v>
      </c>
      <c r="H9" s="8" t="n">
        <v>37.6</v>
      </c>
      <c r="I9" s="8" t="n">
        <v>38.2</v>
      </c>
      <c r="J9" s="8" t="n">
        <v>35</v>
      </c>
      <c r="K9" s="8" t="n">
        <v>24.3</v>
      </c>
      <c r="L9" s="8" t="n">
        <v>20.1</v>
      </c>
      <c r="M9" s="8" t="n">
        <v>13.1</v>
      </c>
      <c r="N9" s="9">
        <f>MAX(B9:M9)</f>
        <v/>
      </c>
    </row>
    <row r="10">
      <c r="A10" s="7" t="inlineStr">
        <is>
          <t>Apsolutni minimum</t>
        </is>
      </c>
      <c r="B10" s="8" t="n">
        <v>-5.2</v>
      </c>
      <c r="C10" s="8" t="n">
        <v>-4.8</v>
      </c>
      <c r="D10" s="8" t="n">
        <v>1.2</v>
      </c>
      <c r="E10" s="8" t="n">
        <v>3.5</v>
      </c>
      <c r="F10" s="8" t="n">
        <v>8.300000000000001</v>
      </c>
      <c r="G10" s="8" t="n">
        <v>12.4</v>
      </c>
      <c r="H10" s="8" t="n">
        <v>14.1</v>
      </c>
      <c r="I10" s="8" t="n">
        <v>17.4</v>
      </c>
      <c r="J10" s="8" t="n">
        <v>7.8</v>
      </c>
      <c r="K10" s="8" t="n">
        <v>6</v>
      </c>
      <c r="L10" s="8" t="n">
        <v>-2.5</v>
      </c>
      <c r="M10" s="8" t="n">
        <v>-3.4</v>
      </c>
      <c r="N10" s="9">
        <f>MIN(B10:M10)</f>
        <v/>
      </c>
    </row>
    <row r="11">
      <c r="A11" s="7" t="inlineStr">
        <is>
          <t>Sr. br. mraznih dana</t>
        </is>
      </c>
      <c r="B11" s="10" t="n">
        <v>19</v>
      </c>
      <c r="C11" s="10" t="n">
        <v>4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2</v>
      </c>
      <c r="M11" s="10" t="n">
        <v>4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13</v>
      </c>
      <c r="H12" s="10" t="n">
        <v>27</v>
      </c>
      <c r="I12" s="10" t="n">
        <v>29</v>
      </c>
      <c r="J12" s="10" t="n">
        <v>7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74.40000000000001</v>
      </c>
      <c r="C14" s="8" t="n">
        <v>76.7</v>
      </c>
      <c r="D14" s="8" t="n">
        <v>75.5</v>
      </c>
      <c r="E14" s="8" t="n">
        <v>67.40000000000001</v>
      </c>
      <c r="F14" s="8" t="n">
        <v>74.09999999999999</v>
      </c>
      <c r="G14" s="8" t="n">
        <v>68.09999999999999</v>
      </c>
      <c r="H14" s="8" t="n">
        <v>53.3</v>
      </c>
      <c r="I14" s="8" t="n">
        <v>48.1</v>
      </c>
      <c r="J14" s="8" t="n">
        <v>67.8</v>
      </c>
      <c r="K14" s="8" t="n">
        <v>78.5</v>
      </c>
      <c r="L14" s="8" t="n">
        <v>73</v>
      </c>
      <c r="M14" s="8" t="n">
        <v>76.8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199.4</v>
      </c>
      <c r="C16" s="8" t="n">
        <v>223.8</v>
      </c>
      <c r="D16" s="8" t="n">
        <v>268</v>
      </c>
      <c r="E16" s="8" t="n">
        <v>344.6</v>
      </c>
      <c r="F16" s="8" t="n">
        <v>353.5</v>
      </c>
      <c r="G16" s="8" t="n">
        <v>401.9</v>
      </c>
      <c r="H16" s="8" t="n">
        <v>423.8</v>
      </c>
      <c r="I16" s="8" t="n">
        <v>399.1</v>
      </c>
      <c r="J16" s="8" t="n">
        <v>295.1</v>
      </c>
      <c r="K16" s="8" t="n">
        <v>292.3</v>
      </c>
      <c r="L16" s="8" t="n">
        <v>234.8</v>
      </c>
      <c r="M16" s="8" t="n">
        <v>184.8</v>
      </c>
      <c r="N16" s="9">
        <f>SUM(B16:M16)</f>
        <v/>
      </c>
    </row>
    <row r="17">
      <c r="A17" s="7" t="inlineStr">
        <is>
          <t>Broj vedrih dana</t>
        </is>
      </c>
      <c r="B17" s="10" t="n">
        <v>9</v>
      </c>
      <c r="C17" s="10" t="n">
        <v>3</v>
      </c>
      <c r="D17" s="10" t="n">
        <v>2</v>
      </c>
      <c r="E17" s="10" t="n">
        <v>6</v>
      </c>
      <c r="F17" s="10" t="n">
        <v>3</v>
      </c>
      <c r="G17" s="10" t="n">
        <v>14</v>
      </c>
      <c r="H17" s="10" t="n">
        <v>21</v>
      </c>
      <c r="I17" s="10" t="n">
        <v>16</v>
      </c>
      <c r="J17" s="10" t="n">
        <v>7</v>
      </c>
      <c r="K17" s="10" t="n">
        <v>6</v>
      </c>
      <c r="L17" s="10" t="n">
        <v>10</v>
      </c>
      <c r="M17" s="10" t="n">
        <v>8</v>
      </c>
      <c r="N17" s="11">
        <f>SUM(B17:M17)</f>
        <v/>
      </c>
    </row>
    <row r="18">
      <c r="A18" s="7" t="inlineStr">
        <is>
          <t>Broj oblačnih dana</t>
        </is>
      </c>
      <c r="B18" s="10" t="n">
        <v>10</v>
      </c>
      <c r="C18" s="10" t="n">
        <v>11</v>
      </c>
      <c r="D18" s="10" t="n">
        <v>12</v>
      </c>
      <c r="E18" s="10" t="n">
        <v>4</v>
      </c>
      <c r="F18" s="10" t="n">
        <v>8</v>
      </c>
      <c r="G18" s="10" t="n">
        <v>1</v>
      </c>
      <c r="H18" s="10" t="n">
        <v>1</v>
      </c>
      <c r="I18" s="10" t="n">
        <v>2</v>
      </c>
      <c r="J18" s="10" t="n">
        <v>6</v>
      </c>
      <c r="K18" s="10" t="n">
        <v>4</v>
      </c>
      <c r="L18" s="10" t="n">
        <v>6</v>
      </c>
      <c r="M18" s="10" t="n">
        <v>13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99</v>
      </c>
      <c r="C20" s="8" t="n">
        <v>126.4</v>
      </c>
      <c r="D20" s="8" t="n">
        <v>166</v>
      </c>
      <c r="E20" s="8" t="n">
        <v>45</v>
      </c>
      <c r="F20" s="8" t="n">
        <v>172.4</v>
      </c>
      <c r="G20" s="8" t="n">
        <v>116.8</v>
      </c>
      <c r="H20" s="8" t="n">
        <v>35.6</v>
      </c>
      <c r="I20" s="8" t="n">
        <v>35.1</v>
      </c>
      <c r="J20" s="8" t="n">
        <v>170</v>
      </c>
      <c r="K20" s="8" t="n">
        <v>128.1</v>
      </c>
      <c r="L20" s="8" t="n">
        <v>81.90000000000001</v>
      </c>
      <c r="M20" s="8" t="n">
        <v>113.2</v>
      </c>
      <c r="N20" s="9">
        <f>SUM(B20:M20)</f>
        <v/>
      </c>
    </row>
    <row r="21">
      <c r="A21" s="7" t="inlineStr">
        <is>
          <t>Max. dnevna suma</t>
        </is>
      </c>
      <c r="B21" s="8" t="n">
        <v>22.5</v>
      </c>
      <c r="C21" s="8" t="n">
        <v>34.4</v>
      </c>
      <c r="D21" s="8" t="n">
        <v>61.4</v>
      </c>
      <c r="E21" s="8" t="n">
        <v>9.1</v>
      </c>
      <c r="F21" s="8" t="n">
        <v>47</v>
      </c>
      <c r="G21" s="8" t="n">
        <v>23.2</v>
      </c>
      <c r="H21" s="8" t="n">
        <v>33.7</v>
      </c>
      <c r="I21" s="8" t="n">
        <v>21.2</v>
      </c>
      <c r="J21" s="8" t="n">
        <v>49.9</v>
      </c>
      <c r="K21" s="8" t="n">
        <v>44.3</v>
      </c>
      <c r="L21" s="8" t="n">
        <v>22</v>
      </c>
      <c r="M21" s="8" t="n">
        <v>29.3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16</v>
      </c>
      <c r="C22" s="10" t="n">
        <v>14</v>
      </c>
      <c r="D22" s="10" t="n">
        <v>21</v>
      </c>
      <c r="E22" s="10" t="n">
        <v>11</v>
      </c>
      <c r="F22" s="10" t="n">
        <v>22</v>
      </c>
      <c r="G22" s="10" t="n">
        <v>14</v>
      </c>
      <c r="H22" s="10" t="n">
        <v>4</v>
      </c>
      <c r="I22" s="10" t="n">
        <v>7</v>
      </c>
      <c r="J22" s="10" t="n">
        <v>20</v>
      </c>
      <c r="K22" s="10" t="n">
        <v>10</v>
      </c>
      <c r="L22" s="10" t="n">
        <v>10</v>
      </c>
      <c r="M22" s="10" t="n">
        <v>17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3</v>
      </c>
      <c r="C23" s="10" t="n">
        <v>4</v>
      </c>
      <c r="D23" s="10" t="n">
        <v>6</v>
      </c>
      <c r="E23" s="10" t="n">
        <v>0</v>
      </c>
      <c r="F23" s="10" t="n">
        <v>6</v>
      </c>
      <c r="G23" s="10" t="n">
        <v>5</v>
      </c>
      <c r="H23" s="10" t="n">
        <v>1</v>
      </c>
      <c r="I23" s="10" t="n">
        <v>1</v>
      </c>
      <c r="J23" s="10" t="n">
        <v>6</v>
      </c>
      <c r="K23" s="10" t="n">
        <v>4</v>
      </c>
      <c r="L23" s="10" t="n">
        <v>4</v>
      </c>
      <c r="M23" s="10" t="n">
        <v>5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1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0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1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PROSEČNE MESEČNE, GODIŠNJE I EKSTREMNE VREDNOSTI ZA 2025. GODINU</t>
        </is>
      </c>
    </row>
    <row r="2">
      <c r="A2" s="2" t="inlineStr">
        <is>
          <t>CMILJEVAC II  φ 43.11°N  λ 17.66°E  h 1295 m</t>
        </is>
      </c>
    </row>
    <row r="4">
      <c r="A4" s="3" t="inlineStr">
        <is>
          <t>METEOROLOŠKI PARAMETAR</t>
        </is>
      </c>
      <c r="B4" s="4" t="inlineStr">
        <is>
          <t>jan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apr</t>
        </is>
      </c>
      <c r="F4" s="4" t="inlineStr">
        <is>
          <t>maj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avg</t>
        </is>
      </c>
      <c r="J4" s="4" t="inlineStr">
        <is>
          <t>sep</t>
        </is>
      </c>
      <c r="K4" s="4" t="inlineStr">
        <is>
          <t>okt</t>
        </is>
      </c>
      <c r="L4" s="4" t="inlineStr">
        <is>
          <t>nov</t>
        </is>
      </c>
      <c r="M4" s="4" t="inlineStr">
        <is>
          <t>dec</t>
        </is>
      </c>
      <c r="N4" s="4" t="inlineStr">
        <is>
          <t>god.</t>
        </is>
      </c>
    </row>
    <row r="5">
      <c r="A5" s="5" t="inlineStr">
        <is>
          <t>TEMPERATURA VAZDUHA (°C)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inlineStr">
        <is>
          <t>Normalna vrednost</t>
        </is>
      </c>
      <c r="B6" s="8" t="n">
        <v>6.5</v>
      </c>
      <c r="C6" s="8" t="n">
        <v>5.8</v>
      </c>
      <c r="D6" s="8" t="n">
        <v>9.800000000000001</v>
      </c>
      <c r="E6" s="8" t="n">
        <v>12.7</v>
      </c>
      <c r="F6" s="8" t="n">
        <v>15.7</v>
      </c>
      <c r="G6" s="8" t="n">
        <v>24.5</v>
      </c>
      <c r="H6" s="8" t="n">
        <v>25.4</v>
      </c>
      <c r="I6" s="8" t="n">
        <v>24.2</v>
      </c>
      <c r="J6" s="8" t="n">
        <v>19.7</v>
      </c>
      <c r="K6" s="8" t="n">
        <v>12.9</v>
      </c>
      <c r="L6" s="8" t="n">
        <v>9.1</v>
      </c>
      <c r="M6" s="8" t="n">
        <v>5.2</v>
      </c>
      <c r="N6" s="9">
        <f>AVERAGE(B6:M6)</f>
        <v/>
      </c>
    </row>
    <row r="7">
      <c r="A7" s="7" t="inlineStr">
        <is>
          <t>Srednja maksimalna</t>
        </is>
      </c>
      <c r="B7" s="8" t="n">
        <v>11.2</v>
      </c>
      <c r="C7" s="8" t="n">
        <v>11.3</v>
      </c>
      <c r="D7" s="8" t="n">
        <v>15.2</v>
      </c>
      <c r="E7" s="8" t="n">
        <v>18.4</v>
      </c>
      <c r="F7" s="8" t="n">
        <v>21.3</v>
      </c>
      <c r="G7" s="8" t="n">
        <v>31.8</v>
      </c>
      <c r="H7" s="8" t="n">
        <v>31.8</v>
      </c>
      <c r="I7" s="8" t="n">
        <v>31</v>
      </c>
      <c r="J7" s="8" t="n">
        <v>26.1</v>
      </c>
      <c r="K7" s="8" t="n">
        <v>18</v>
      </c>
      <c r="L7" s="8" t="n">
        <v>13.9</v>
      </c>
      <c r="M7" s="8" t="n">
        <v>11.5</v>
      </c>
      <c r="N7" s="9">
        <f>AVERAGE(B7:M7)</f>
        <v/>
      </c>
    </row>
    <row r="8">
      <c r="A8" s="7" t="inlineStr">
        <is>
          <t>Srednja minimalna</t>
        </is>
      </c>
      <c r="B8" s="8" t="n">
        <v>2.8</v>
      </c>
      <c r="C8" s="8" t="n">
        <v>1.6</v>
      </c>
      <c r="D8" s="8" t="n">
        <v>5.3</v>
      </c>
      <c r="E8" s="8" t="n">
        <v>7.7</v>
      </c>
      <c r="F8" s="8" t="n">
        <v>10.4</v>
      </c>
      <c r="G8" s="8" t="n">
        <v>16.8</v>
      </c>
      <c r="H8" s="8" t="n">
        <v>18.6</v>
      </c>
      <c r="I8" s="8" t="n">
        <v>17.7</v>
      </c>
      <c r="J8" s="8" t="n">
        <v>14.6</v>
      </c>
      <c r="K8" s="8" t="n">
        <v>8.6</v>
      </c>
      <c r="L8" s="8" t="n">
        <v>5.4</v>
      </c>
      <c r="M8" s="8" t="n">
        <v>1.4</v>
      </c>
      <c r="N8" s="9">
        <f>AVERAGE(B8:M8)</f>
        <v/>
      </c>
    </row>
    <row r="9">
      <c r="A9" s="7" t="inlineStr">
        <is>
          <t>Apsolutni maksimum</t>
        </is>
      </c>
      <c r="B9" s="8" t="n">
        <v>15.2</v>
      </c>
      <c r="C9" s="8" t="n">
        <v>14.4</v>
      </c>
      <c r="D9" s="8" t="n">
        <v>19.1</v>
      </c>
      <c r="E9" s="8" t="n">
        <v>25</v>
      </c>
      <c r="F9" s="8" t="n">
        <v>26.8</v>
      </c>
      <c r="G9" s="8" t="n">
        <v>37.3</v>
      </c>
      <c r="H9" s="8" t="n">
        <v>37.5</v>
      </c>
      <c r="I9" s="8" t="n">
        <v>38.6</v>
      </c>
      <c r="J9" s="8" t="n">
        <v>30.1</v>
      </c>
      <c r="K9" s="8" t="n">
        <v>22.2</v>
      </c>
      <c r="L9" s="8" t="n">
        <v>20.5</v>
      </c>
      <c r="M9" s="8" t="n">
        <v>14.5</v>
      </c>
      <c r="N9" s="9">
        <f>MAX(B9:M9)</f>
        <v/>
      </c>
    </row>
    <row r="10">
      <c r="A10" s="7" t="inlineStr">
        <is>
          <t>Apsolutni minimum</t>
        </is>
      </c>
      <c r="B10" s="8" t="n">
        <v>-2.9</v>
      </c>
      <c r="C10" s="8" t="n">
        <v>-4.5</v>
      </c>
      <c r="D10" s="8" t="n">
        <v>-2.8</v>
      </c>
      <c r="E10" s="8" t="n">
        <v>-0.1</v>
      </c>
      <c r="F10" s="8" t="n">
        <v>6.9</v>
      </c>
      <c r="G10" s="8" t="n">
        <v>12.2</v>
      </c>
      <c r="H10" s="8" t="n">
        <v>12.5</v>
      </c>
      <c r="I10" s="8" t="n">
        <v>13.1</v>
      </c>
      <c r="J10" s="8" t="n">
        <v>8.199999999999999</v>
      </c>
      <c r="K10" s="8" t="n">
        <v>4.8</v>
      </c>
      <c r="L10" s="8" t="n">
        <v>0.5</v>
      </c>
      <c r="M10" s="8" t="n">
        <v>-4.6</v>
      </c>
      <c r="N10" s="9">
        <f>MIN(B10:M10)</f>
        <v/>
      </c>
    </row>
    <row r="11">
      <c r="A11" s="7" t="inlineStr">
        <is>
          <t>Sr. br. mraznih dana</t>
        </is>
      </c>
      <c r="B11" s="10" t="n">
        <v>9</v>
      </c>
      <c r="C11" s="10" t="n">
        <v>9</v>
      </c>
      <c r="D11" s="10" t="n">
        <v>2</v>
      </c>
      <c r="E11" s="10" t="n">
        <v>1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8</v>
      </c>
      <c r="N11" s="11">
        <f>SUM(B11:M11)</f>
        <v/>
      </c>
    </row>
    <row r="12">
      <c r="A12" s="7" t="inlineStr">
        <is>
          <t>Sr. br. tropskih dana</t>
        </is>
      </c>
      <c r="B12" s="10" t="n">
        <v>0</v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25</v>
      </c>
      <c r="H12" s="10" t="n">
        <v>21</v>
      </c>
      <c r="I12" s="10" t="n">
        <v>18</v>
      </c>
      <c r="J12" s="10" t="n">
        <v>1</v>
      </c>
      <c r="K12" s="10" t="n">
        <v>0</v>
      </c>
      <c r="L12" s="10" t="n">
        <v>0</v>
      </c>
      <c r="M12" s="10" t="n">
        <v>0</v>
      </c>
      <c r="N12" s="11">
        <f>SUM(B12:M12)</f>
        <v/>
      </c>
    </row>
    <row r="13">
      <c r="A13" s="5" t="inlineStr">
        <is>
          <t>RELATIVNA VLAGA (%)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inlineStr">
        <is>
          <t>Prosek</t>
        </is>
      </c>
      <c r="B14" s="8" t="n">
        <v>78.5</v>
      </c>
      <c r="C14" s="8" t="n">
        <v>74.90000000000001</v>
      </c>
      <c r="D14" s="8" t="n">
        <v>75.2</v>
      </c>
      <c r="E14" s="8" t="n">
        <v>70.5</v>
      </c>
      <c r="F14" s="8" t="n">
        <v>70.5</v>
      </c>
      <c r="G14" s="8" t="n">
        <v>50.8</v>
      </c>
      <c r="H14" s="8" t="n">
        <v>49.9</v>
      </c>
      <c r="I14" s="8" t="n">
        <v>55.4</v>
      </c>
      <c r="J14" s="8" t="n">
        <v>73.09999999999999</v>
      </c>
      <c r="K14" s="8" t="n">
        <v>73.3</v>
      </c>
      <c r="L14" s="8" t="n">
        <v>81.90000000000001</v>
      </c>
      <c r="M14" s="8" t="n">
        <v>78.5</v>
      </c>
      <c r="N14" s="9">
        <f>AVERAGE(B14:M14)</f>
        <v/>
      </c>
    </row>
    <row r="15">
      <c r="A15" s="5" t="inlineStr">
        <is>
          <t>TRAJANJE SIJANJA SUNCA (h)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inlineStr">
        <is>
          <t>Prosek</t>
        </is>
      </c>
      <c r="B16" s="8" t="n">
        <v>172.3</v>
      </c>
      <c r="C16" s="8" t="n">
        <v>188</v>
      </c>
      <c r="D16" s="8" t="n">
        <v>228.9</v>
      </c>
      <c r="E16" s="8" t="n">
        <v>308.3</v>
      </c>
      <c r="F16" s="8" t="n">
        <v>382.1</v>
      </c>
      <c r="G16" s="8" t="n">
        <v>425.9</v>
      </c>
      <c r="H16" s="8" t="n">
        <v>410.2</v>
      </c>
      <c r="I16" s="8" t="n">
        <v>390.8</v>
      </c>
      <c r="J16" s="8" t="n">
        <v>315.3</v>
      </c>
      <c r="K16" s="8" t="n">
        <v>258.1</v>
      </c>
      <c r="L16" s="8" t="n">
        <v>176.4</v>
      </c>
      <c r="M16" s="8" t="n">
        <v>215.5</v>
      </c>
      <c r="N16" s="9">
        <f>SUM(B16:M16)</f>
        <v/>
      </c>
    </row>
    <row r="17">
      <c r="A17" s="7" t="inlineStr">
        <is>
          <t>Broj vedrih dana</t>
        </is>
      </c>
      <c r="B17" s="10" t="n">
        <v>5</v>
      </c>
      <c r="C17" s="10" t="n">
        <v>8</v>
      </c>
      <c r="D17" s="10" t="n">
        <v>9</v>
      </c>
      <c r="E17" s="10" t="n">
        <v>4</v>
      </c>
      <c r="F17" s="10" t="n">
        <v>7</v>
      </c>
      <c r="G17" s="10" t="n">
        <v>26</v>
      </c>
      <c r="H17" s="10" t="n">
        <v>20</v>
      </c>
      <c r="I17" s="10" t="n">
        <v>13</v>
      </c>
      <c r="J17" s="10" t="n">
        <v>15</v>
      </c>
      <c r="K17" s="10" t="n">
        <v>3</v>
      </c>
      <c r="L17" s="10" t="n">
        <v>9</v>
      </c>
      <c r="M17" s="10" t="n">
        <v>9</v>
      </c>
      <c r="N17" s="11">
        <f>SUM(B17:M17)</f>
        <v/>
      </c>
    </row>
    <row r="18">
      <c r="A18" s="7" t="inlineStr">
        <is>
          <t>Broj oblačnih dana</t>
        </is>
      </c>
      <c r="B18" s="10" t="n">
        <v>13</v>
      </c>
      <c r="C18" s="10" t="n">
        <v>10</v>
      </c>
      <c r="D18" s="10" t="n">
        <v>15</v>
      </c>
      <c r="E18" s="10" t="n">
        <v>7</v>
      </c>
      <c r="F18" s="10" t="n">
        <v>5</v>
      </c>
      <c r="G18" s="10" t="n">
        <v>0</v>
      </c>
      <c r="H18" s="10" t="n">
        <v>1</v>
      </c>
      <c r="I18" s="10" t="n">
        <v>1</v>
      </c>
      <c r="J18" s="10" t="n">
        <v>3</v>
      </c>
      <c r="K18" s="10" t="n">
        <v>9</v>
      </c>
      <c r="L18" s="10" t="n">
        <v>12</v>
      </c>
      <c r="M18" s="10" t="n">
        <v>8</v>
      </c>
      <c r="N18" s="11">
        <f>SUM(B18:M18)</f>
        <v/>
      </c>
    </row>
    <row r="19">
      <c r="A19" s="5" t="inlineStr">
        <is>
          <t>PADAVINE (mm)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inlineStr">
        <is>
          <t>Sr. mesečna suma</t>
        </is>
      </c>
      <c r="B20" s="8" t="n">
        <v>74.59999999999999</v>
      </c>
      <c r="C20" s="8" t="n">
        <v>78.3</v>
      </c>
      <c r="D20" s="8" t="n">
        <v>402.5</v>
      </c>
      <c r="E20" s="8" t="n">
        <v>109.6</v>
      </c>
      <c r="F20" s="8" t="n">
        <v>121</v>
      </c>
      <c r="G20" s="8" t="n">
        <v>1.3</v>
      </c>
      <c r="H20" s="8" t="n">
        <v>98.8</v>
      </c>
      <c r="I20" s="8" t="n">
        <v>120.7</v>
      </c>
      <c r="J20" s="8" t="n">
        <v>160.5</v>
      </c>
      <c r="K20" s="8" t="n">
        <v>93.3</v>
      </c>
      <c r="L20" s="8" t="n">
        <v>251.9</v>
      </c>
      <c r="M20" s="8" t="n">
        <v>65.3</v>
      </c>
      <c r="N20" s="9">
        <f>SUM(B20:M20)</f>
        <v/>
      </c>
    </row>
    <row r="21">
      <c r="A21" s="7" t="inlineStr">
        <is>
          <t>Max. dnevna suma</t>
        </is>
      </c>
      <c r="B21" s="8" t="n">
        <v>19.8</v>
      </c>
      <c r="C21" s="8" t="n">
        <v>19.7</v>
      </c>
      <c r="D21" s="8" t="n">
        <v>58.8</v>
      </c>
      <c r="E21" s="8" t="n">
        <v>20.7</v>
      </c>
      <c r="F21" s="8" t="n">
        <v>34</v>
      </c>
      <c r="G21" s="8" t="n">
        <v>0.6</v>
      </c>
      <c r="H21" s="8" t="n">
        <v>41.2</v>
      </c>
      <c r="I21" s="8" t="n">
        <v>50.5</v>
      </c>
      <c r="J21" s="8" t="n">
        <v>57.4</v>
      </c>
      <c r="K21" s="8" t="n">
        <v>19.6</v>
      </c>
      <c r="L21" s="8" t="n">
        <v>38.2</v>
      </c>
      <c r="M21" s="8" t="n">
        <v>19.4</v>
      </c>
      <c r="N21" s="9">
        <f>MAX(B21:M21)</f>
        <v/>
      </c>
    </row>
    <row r="22">
      <c r="A22" s="7" t="inlineStr">
        <is>
          <t>Sr. br. dana &gt;= 0.1 mm</t>
        </is>
      </c>
      <c r="B22" s="10" t="n">
        <v>20</v>
      </c>
      <c r="C22" s="10" t="n">
        <v>13</v>
      </c>
      <c r="D22" s="10" t="n">
        <v>18</v>
      </c>
      <c r="E22" s="10" t="n">
        <v>14</v>
      </c>
      <c r="F22" s="10" t="n">
        <v>17</v>
      </c>
      <c r="G22" s="10" t="n">
        <v>3</v>
      </c>
      <c r="H22" s="10" t="n">
        <v>7</v>
      </c>
      <c r="I22" s="10" t="n">
        <v>10</v>
      </c>
      <c r="J22" s="10" t="n">
        <v>10</v>
      </c>
      <c r="K22" s="10" t="n">
        <v>13</v>
      </c>
      <c r="L22" s="10" t="n">
        <v>16</v>
      </c>
      <c r="M22" s="10" t="n">
        <v>9</v>
      </c>
      <c r="N22" s="11">
        <f>SUM(B22:M22)</f>
        <v/>
      </c>
    </row>
    <row r="23">
      <c r="A23" s="7" t="inlineStr">
        <is>
          <t>Sr. br. dana &gt;= 10.0 mm</t>
        </is>
      </c>
      <c r="B23" s="10" t="n">
        <v>2</v>
      </c>
      <c r="C23" s="10" t="n">
        <v>3</v>
      </c>
      <c r="D23" s="10" t="n">
        <v>13</v>
      </c>
      <c r="E23" s="10" t="n">
        <v>5</v>
      </c>
      <c r="F23" s="10" t="n">
        <v>4</v>
      </c>
      <c r="G23" s="10" t="n">
        <v>0</v>
      </c>
      <c r="H23" s="10" t="n">
        <v>3</v>
      </c>
      <c r="I23" s="10" t="n">
        <v>2</v>
      </c>
      <c r="J23" s="10" t="n">
        <v>4</v>
      </c>
      <c r="K23" s="10" t="n">
        <v>4</v>
      </c>
      <c r="L23" s="10" t="n">
        <v>12</v>
      </c>
      <c r="M23" s="10" t="n">
        <v>3</v>
      </c>
      <c r="N23" s="11">
        <f>SUM(B23:M23)</f>
        <v/>
      </c>
    </row>
    <row r="24">
      <c r="A24" s="5" t="inlineStr">
        <is>
          <t>POJAVE (broj dana sa....)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7" t="inlineStr">
        <is>
          <t>snegom</t>
        </is>
      </c>
      <c r="B25" s="10" t="n">
        <v>0</v>
      </c>
      <c r="C25" s="10" t="n">
        <v>0</v>
      </c>
      <c r="D25" s="10" t="n">
        <v>0</v>
      </c>
      <c r="E25" s="10" t="n">
        <v>0</v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3</v>
      </c>
      <c r="M25" s="10" t="n">
        <v>0</v>
      </c>
      <c r="N25" s="11">
        <f>SUM(B25:M25)</f>
        <v/>
      </c>
    </row>
    <row r="26">
      <c r="A26" s="7" t="inlineStr">
        <is>
          <t>snežnim pokrivačem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3</v>
      </c>
      <c r="M26" s="10" t="n">
        <v>0</v>
      </c>
      <c r="N26" s="11">
        <f>SUM(B26:M26)</f>
        <v/>
      </c>
    </row>
    <row r="27">
      <c r="A27" s="7" t="inlineStr">
        <is>
          <t>maglom</t>
        </is>
      </c>
      <c r="B27" s="10" t="n">
        <v>0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1">
        <f>SUM(B27:M27)</f>
        <v/>
      </c>
    </row>
    <row r="28">
      <c r="A28" s="7" t="inlineStr">
        <is>
          <t>gradom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1">
        <f>SUM(B28:M28)</f>
        <v/>
      </c>
    </row>
  </sheetData>
  <mergeCells count="7">
    <mergeCell ref="A24:N24"/>
    <mergeCell ref="A2:N2"/>
    <mergeCell ref="A15:N15"/>
    <mergeCell ref="A19:N19"/>
    <mergeCell ref="A5:N5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2026-08-22T15:31:01Z</dcterms:created>
  <dcterms:modified xmlns:dcterms="http://purl.org/dc/terms/" xmlns:xsi="http://www.w3.org/2001/XMLSchema-instance" xsi:type="dcterms:W3CDTF">2026-08-22T15:31:02Z</dcterms:modified>
</cp:coreProperties>
</file>