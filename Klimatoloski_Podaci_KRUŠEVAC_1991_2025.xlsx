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ek 1991-2025" sheetId="1" state="visible" r:id="rId1"/>
    <sheet xmlns:r="http://schemas.openxmlformats.org/officeDocument/2006/relationships" name="1991" sheetId="2" state="visible" r:id="rId2"/>
    <sheet xmlns:r="http://schemas.openxmlformats.org/officeDocument/2006/relationships" name="1992" sheetId="3" state="visible" r:id="rId3"/>
    <sheet xmlns:r="http://schemas.openxmlformats.org/officeDocument/2006/relationships" name="1993" sheetId="4" state="visible" r:id="rId4"/>
    <sheet xmlns:r="http://schemas.openxmlformats.org/officeDocument/2006/relationships" name="1994" sheetId="5" state="visible" r:id="rId5"/>
    <sheet xmlns:r="http://schemas.openxmlformats.org/officeDocument/2006/relationships" name="1995" sheetId="6" state="visible" r:id="rId6"/>
    <sheet xmlns:r="http://schemas.openxmlformats.org/officeDocument/2006/relationships" name="1996" sheetId="7" state="visible" r:id="rId7"/>
    <sheet xmlns:r="http://schemas.openxmlformats.org/officeDocument/2006/relationships" name="1997" sheetId="8" state="visible" r:id="rId8"/>
    <sheet xmlns:r="http://schemas.openxmlformats.org/officeDocument/2006/relationships" name="1998" sheetId="9" state="visible" r:id="rId9"/>
    <sheet xmlns:r="http://schemas.openxmlformats.org/officeDocument/2006/relationships" name="1999" sheetId="10" state="visible" r:id="rId10"/>
    <sheet xmlns:r="http://schemas.openxmlformats.org/officeDocument/2006/relationships" name="2000" sheetId="11" state="visible" r:id="rId11"/>
    <sheet xmlns:r="http://schemas.openxmlformats.org/officeDocument/2006/relationships" name="2001" sheetId="12" state="visible" r:id="rId12"/>
    <sheet xmlns:r="http://schemas.openxmlformats.org/officeDocument/2006/relationships" name="2002" sheetId="13" state="visible" r:id="rId13"/>
    <sheet xmlns:r="http://schemas.openxmlformats.org/officeDocument/2006/relationships" name="2003" sheetId="14" state="visible" r:id="rId14"/>
    <sheet xmlns:r="http://schemas.openxmlformats.org/officeDocument/2006/relationships" name="2004" sheetId="15" state="visible" r:id="rId15"/>
    <sheet xmlns:r="http://schemas.openxmlformats.org/officeDocument/2006/relationships" name="2005" sheetId="16" state="visible" r:id="rId16"/>
    <sheet xmlns:r="http://schemas.openxmlformats.org/officeDocument/2006/relationships" name="2006" sheetId="17" state="visible" r:id="rId17"/>
    <sheet xmlns:r="http://schemas.openxmlformats.org/officeDocument/2006/relationships" name="2007" sheetId="18" state="visible" r:id="rId18"/>
    <sheet xmlns:r="http://schemas.openxmlformats.org/officeDocument/2006/relationships" name="2008" sheetId="19" state="visible" r:id="rId19"/>
    <sheet xmlns:r="http://schemas.openxmlformats.org/officeDocument/2006/relationships" name="2009" sheetId="20" state="visible" r:id="rId20"/>
    <sheet xmlns:r="http://schemas.openxmlformats.org/officeDocument/2006/relationships" name="2010" sheetId="21" state="visible" r:id="rId21"/>
    <sheet xmlns:r="http://schemas.openxmlformats.org/officeDocument/2006/relationships" name="2011" sheetId="22" state="visible" r:id="rId22"/>
    <sheet xmlns:r="http://schemas.openxmlformats.org/officeDocument/2006/relationships" name="2012" sheetId="23" state="visible" r:id="rId23"/>
    <sheet xmlns:r="http://schemas.openxmlformats.org/officeDocument/2006/relationships" name="2013" sheetId="24" state="visible" r:id="rId24"/>
    <sheet xmlns:r="http://schemas.openxmlformats.org/officeDocument/2006/relationships" name="2014" sheetId="25" state="visible" r:id="rId25"/>
    <sheet xmlns:r="http://schemas.openxmlformats.org/officeDocument/2006/relationships" name="2015" sheetId="26" state="visible" r:id="rId26"/>
    <sheet xmlns:r="http://schemas.openxmlformats.org/officeDocument/2006/relationships" name="2016" sheetId="27" state="visible" r:id="rId27"/>
    <sheet xmlns:r="http://schemas.openxmlformats.org/officeDocument/2006/relationships" name="2017" sheetId="28" state="visible" r:id="rId28"/>
    <sheet xmlns:r="http://schemas.openxmlformats.org/officeDocument/2006/relationships" name="2018" sheetId="29" state="visible" r:id="rId29"/>
    <sheet xmlns:r="http://schemas.openxmlformats.org/officeDocument/2006/relationships" name="2019" sheetId="30" state="visible" r:id="rId30"/>
    <sheet xmlns:r="http://schemas.openxmlformats.org/officeDocument/2006/relationships" name="2020" sheetId="31" state="visible" r:id="rId31"/>
    <sheet xmlns:r="http://schemas.openxmlformats.org/officeDocument/2006/relationships" name="2021" sheetId="32" state="visible" r:id="rId32"/>
    <sheet xmlns:r="http://schemas.openxmlformats.org/officeDocument/2006/relationships" name="2022" sheetId="33" state="visible" r:id="rId33"/>
    <sheet xmlns:r="http://schemas.openxmlformats.org/officeDocument/2006/relationships" name="2023" sheetId="34" state="visible" r:id="rId34"/>
    <sheet xmlns:r="http://schemas.openxmlformats.org/officeDocument/2006/relationships" name="2024" sheetId="35" state="visible" r:id="rId35"/>
    <sheet xmlns:r="http://schemas.openxmlformats.org/officeDocument/2006/relationships" name="2025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0" fillId="0" borderId="2" pivotButton="0" quotePrefix="0" xfId="0"/>
    <xf numFmtId="0" fontId="4" fillId="0" borderId="2" pivotButton="0" quotePrefix="0" xfId="0"/>
    <xf numFmtId="164" fontId="0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PERIOD 1991-2025. GODINA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>
        <f>AVERAGE('1991'!B6,'1992'!B6,'1993'!B6,'1994'!B6,'1995'!B6,'1996'!B6,'1997'!B6,'1998'!B6,'1999'!B6,'2000'!B6,'2001'!B6,'2002'!B6,'2003'!B6,'2004'!B6,'2005'!B6,'2006'!B6,'2007'!B6,'2008'!B6,'2009'!B6,'2010'!B6,'2011'!B6,'2012'!B6,'2013'!B6,'2014'!B6,'2015'!B6,'2016'!B6,'2017'!B6,'2018'!B6,'2019'!B6,'2020'!B6,'2021'!B6,'2022'!B6,'2023'!B6,'2024'!B6,'2025'!B6)</f>
        <v/>
      </c>
      <c r="C6" s="8">
        <f>AVERAGE('1991'!C6,'1992'!C6,'1993'!C6,'1994'!C6,'1995'!C6,'1996'!C6,'1997'!C6,'1998'!C6,'1999'!C6,'2000'!C6,'2001'!C6,'2002'!C6,'2003'!C6,'2004'!C6,'2005'!C6,'2006'!C6,'2007'!C6,'2008'!C6,'2009'!C6,'2010'!C6,'2011'!C6,'2012'!C6,'2013'!C6,'2014'!C6,'2015'!C6,'2016'!C6,'2017'!C6,'2018'!C6,'2019'!C6,'2020'!C6,'2021'!C6,'2022'!C6,'2023'!C6,'2024'!C6,'2025'!C6)</f>
        <v/>
      </c>
      <c r="D6" s="8">
        <f>AVERAGE('1991'!D6,'1992'!D6,'1993'!D6,'1994'!D6,'1995'!D6,'1996'!D6,'1997'!D6,'1998'!D6,'1999'!D6,'2000'!D6,'2001'!D6,'2002'!D6,'2003'!D6,'2004'!D6,'2005'!D6,'2006'!D6,'2007'!D6,'2008'!D6,'2009'!D6,'2010'!D6,'2011'!D6,'2012'!D6,'2013'!D6,'2014'!D6,'2015'!D6,'2016'!D6,'2017'!D6,'2018'!D6,'2019'!D6,'2020'!D6,'2021'!D6,'2022'!D6,'2023'!D6,'2024'!D6,'2025'!D6)</f>
        <v/>
      </c>
      <c r="E6" s="8">
        <f>AVERAGE('1991'!E6,'1992'!E6,'1993'!E6,'1994'!E6,'1995'!E6,'1996'!E6,'1997'!E6,'1998'!E6,'1999'!E6,'2000'!E6,'2001'!E6,'2002'!E6,'2003'!E6,'2004'!E6,'2005'!E6,'2006'!E6,'2007'!E6,'2008'!E6,'2009'!E6,'2010'!E6,'2011'!E6,'2012'!E6,'2013'!E6,'2014'!E6,'2015'!E6,'2016'!E6,'2017'!E6,'2018'!E6,'2019'!E6,'2020'!E6,'2021'!E6,'2022'!E6,'2023'!E6,'2024'!E6,'2025'!E6)</f>
        <v/>
      </c>
      <c r="F6" s="8">
        <f>AVERAGE('1991'!F6,'1992'!F6,'1993'!F6,'1994'!F6,'1995'!F6,'1996'!F6,'1997'!F6,'1998'!F6,'1999'!F6,'2000'!F6,'2001'!F6,'2002'!F6,'2003'!F6,'2004'!F6,'2005'!F6,'2006'!F6,'2007'!F6,'2008'!F6,'2009'!F6,'2010'!F6,'2011'!F6,'2012'!F6,'2013'!F6,'2014'!F6,'2015'!F6,'2016'!F6,'2017'!F6,'2018'!F6,'2019'!F6,'2020'!F6,'2021'!F6,'2022'!F6,'2023'!F6,'2024'!F6,'2025'!F6)</f>
        <v/>
      </c>
      <c r="G6" s="8">
        <f>AVERAGE('1991'!G6,'1992'!G6,'1993'!G6,'1994'!G6,'1995'!G6,'1996'!G6,'1997'!G6,'1998'!G6,'1999'!G6,'2000'!G6,'2001'!G6,'2002'!G6,'2003'!G6,'2004'!G6,'2005'!G6,'2006'!G6,'2007'!G6,'2008'!G6,'2009'!G6,'2010'!G6,'2011'!G6,'2012'!G6,'2013'!G6,'2014'!G6,'2015'!G6,'2016'!G6,'2017'!G6,'2018'!G6,'2019'!G6,'2020'!G6,'2021'!G6,'2022'!G6,'2023'!G6,'2024'!G6,'2025'!G6)</f>
        <v/>
      </c>
      <c r="H6" s="8">
        <f>AVERAGE('1991'!H6,'1992'!H6,'1993'!H6,'1994'!H6,'1995'!H6,'1996'!H6,'1997'!H6,'1998'!H6,'1999'!H6,'2000'!H6,'2001'!H6,'2002'!H6,'2003'!H6,'2004'!H6,'2005'!H6,'2006'!H6,'2007'!H6,'2008'!H6,'2009'!H6,'2010'!H6,'2011'!H6,'2012'!H6,'2013'!H6,'2014'!H6,'2015'!H6,'2016'!H6,'2017'!H6,'2018'!H6,'2019'!H6,'2020'!H6,'2021'!H6,'2022'!H6,'2023'!H6,'2024'!H6,'2025'!H6)</f>
        <v/>
      </c>
      <c r="I6" s="8">
        <f>AVERAGE('1991'!I6,'1992'!I6,'1993'!I6,'1994'!I6,'1995'!I6,'1996'!I6,'1997'!I6,'1998'!I6,'1999'!I6,'2000'!I6,'2001'!I6,'2002'!I6,'2003'!I6,'2004'!I6,'2005'!I6,'2006'!I6,'2007'!I6,'2008'!I6,'2009'!I6,'2010'!I6,'2011'!I6,'2012'!I6,'2013'!I6,'2014'!I6,'2015'!I6,'2016'!I6,'2017'!I6,'2018'!I6,'2019'!I6,'2020'!I6,'2021'!I6,'2022'!I6,'2023'!I6,'2024'!I6,'2025'!I6)</f>
        <v/>
      </c>
      <c r="J6" s="8">
        <f>AVERAGE('1991'!J6,'1992'!J6,'1993'!J6,'1994'!J6,'1995'!J6,'1996'!J6,'1997'!J6,'1998'!J6,'1999'!J6,'2000'!J6,'2001'!J6,'2002'!J6,'2003'!J6,'2004'!J6,'2005'!J6,'2006'!J6,'2007'!J6,'2008'!J6,'2009'!J6,'2010'!J6,'2011'!J6,'2012'!J6,'2013'!J6,'2014'!J6,'2015'!J6,'2016'!J6,'2017'!J6,'2018'!J6,'2019'!J6,'2020'!J6,'2021'!J6,'2022'!J6,'2023'!J6,'2024'!J6,'2025'!J6)</f>
        <v/>
      </c>
      <c r="K6" s="8">
        <f>AVERAGE('1991'!K6,'1992'!K6,'1993'!K6,'1994'!K6,'1995'!K6,'1996'!K6,'1997'!K6,'1998'!K6,'1999'!K6,'2000'!K6,'2001'!K6,'2002'!K6,'2003'!K6,'2004'!K6,'2005'!K6,'2006'!K6,'2007'!K6,'2008'!K6,'2009'!K6,'2010'!K6,'2011'!K6,'2012'!K6,'2013'!K6,'2014'!K6,'2015'!K6,'2016'!K6,'2017'!K6,'2018'!K6,'2019'!K6,'2020'!K6,'2021'!K6,'2022'!K6,'2023'!K6,'2024'!K6,'2025'!K6)</f>
        <v/>
      </c>
      <c r="L6" s="8">
        <f>AVERAGE('1991'!L6,'1992'!L6,'1993'!L6,'1994'!L6,'1995'!L6,'1996'!L6,'1997'!L6,'1998'!L6,'1999'!L6,'2000'!L6,'2001'!L6,'2002'!L6,'2003'!L6,'2004'!L6,'2005'!L6,'2006'!L6,'2007'!L6,'2008'!L6,'2009'!L6,'2010'!L6,'2011'!L6,'2012'!L6,'2013'!L6,'2014'!L6,'2015'!L6,'2016'!L6,'2017'!L6,'2018'!L6,'2019'!L6,'2020'!L6,'2021'!L6,'2022'!L6,'2023'!L6,'2024'!L6,'2025'!L6)</f>
        <v/>
      </c>
      <c r="M6" s="8">
        <f>AVERAGE('1991'!M6,'1992'!M6,'1993'!M6,'1994'!M6,'1995'!M6,'1996'!M6,'1997'!M6,'1998'!M6,'1999'!M6,'2000'!M6,'2001'!M6,'2002'!M6,'2003'!M6,'2004'!M6,'2005'!M6,'2006'!M6,'2007'!M6,'2008'!M6,'2009'!M6,'2010'!M6,'2011'!M6,'2012'!M6,'2013'!M6,'2014'!M6,'2015'!M6,'2016'!M6,'2017'!M6,'2018'!M6,'2019'!M6,'2020'!M6,'2021'!M6,'2022'!M6,'2023'!M6,'2024'!M6,'2025'!M6)</f>
        <v/>
      </c>
      <c r="N6" s="9">
        <f>AVERAGE(B6:M6)</f>
        <v/>
      </c>
    </row>
    <row r="7">
      <c r="A7" s="7" t="inlineStr">
        <is>
          <t>Srednja maksimalna</t>
        </is>
      </c>
      <c r="B7" s="8">
        <f>AVERAGE('1991'!B7,'1992'!B7,'1993'!B7,'1994'!B7,'1995'!B7,'1996'!B7,'1997'!B7,'1998'!B7,'1999'!B7,'2000'!B7,'2001'!B7,'2002'!B7,'2003'!B7,'2004'!B7,'2005'!B7,'2006'!B7,'2007'!B7,'2008'!B7,'2009'!B7,'2010'!B7,'2011'!B7,'2012'!B7,'2013'!B7,'2014'!B7,'2015'!B7,'2016'!B7,'2017'!B7,'2018'!B7,'2019'!B7,'2020'!B7,'2021'!B7,'2022'!B7,'2023'!B7,'2024'!B7,'2025'!B7)</f>
        <v/>
      </c>
      <c r="C7" s="8">
        <f>AVERAGE('1991'!C7,'1992'!C7,'1993'!C7,'1994'!C7,'1995'!C7,'1996'!C7,'1997'!C7,'1998'!C7,'1999'!C7,'2000'!C7,'2001'!C7,'2002'!C7,'2003'!C7,'2004'!C7,'2005'!C7,'2006'!C7,'2007'!C7,'2008'!C7,'2009'!C7,'2010'!C7,'2011'!C7,'2012'!C7,'2013'!C7,'2014'!C7,'2015'!C7,'2016'!C7,'2017'!C7,'2018'!C7,'2019'!C7,'2020'!C7,'2021'!C7,'2022'!C7,'2023'!C7,'2024'!C7,'2025'!C7)</f>
        <v/>
      </c>
      <c r="D7" s="8">
        <f>AVERAGE('1991'!D7,'1992'!D7,'1993'!D7,'1994'!D7,'1995'!D7,'1996'!D7,'1997'!D7,'1998'!D7,'1999'!D7,'2000'!D7,'2001'!D7,'2002'!D7,'2003'!D7,'2004'!D7,'2005'!D7,'2006'!D7,'2007'!D7,'2008'!D7,'2009'!D7,'2010'!D7,'2011'!D7,'2012'!D7,'2013'!D7,'2014'!D7,'2015'!D7,'2016'!D7,'2017'!D7,'2018'!D7,'2019'!D7,'2020'!D7,'2021'!D7,'2022'!D7,'2023'!D7,'2024'!D7,'2025'!D7)</f>
        <v/>
      </c>
      <c r="E7" s="8">
        <f>AVERAGE('1991'!E7,'1992'!E7,'1993'!E7,'1994'!E7,'1995'!E7,'1996'!E7,'1997'!E7,'1998'!E7,'1999'!E7,'2000'!E7,'2001'!E7,'2002'!E7,'2003'!E7,'2004'!E7,'2005'!E7,'2006'!E7,'2007'!E7,'2008'!E7,'2009'!E7,'2010'!E7,'2011'!E7,'2012'!E7,'2013'!E7,'2014'!E7,'2015'!E7,'2016'!E7,'2017'!E7,'2018'!E7,'2019'!E7,'2020'!E7,'2021'!E7,'2022'!E7,'2023'!E7,'2024'!E7,'2025'!E7)</f>
        <v/>
      </c>
      <c r="F7" s="8">
        <f>AVERAGE('1991'!F7,'1992'!F7,'1993'!F7,'1994'!F7,'1995'!F7,'1996'!F7,'1997'!F7,'1998'!F7,'1999'!F7,'2000'!F7,'2001'!F7,'2002'!F7,'2003'!F7,'2004'!F7,'2005'!F7,'2006'!F7,'2007'!F7,'2008'!F7,'2009'!F7,'2010'!F7,'2011'!F7,'2012'!F7,'2013'!F7,'2014'!F7,'2015'!F7,'2016'!F7,'2017'!F7,'2018'!F7,'2019'!F7,'2020'!F7,'2021'!F7,'2022'!F7,'2023'!F7,'2024'!F7,'2025'!F7)</f>
        <v/>
      </c>
      <c r="G7" s="8">
        <f>AVERAGE('1991'!G7,'1992'!G7,'1993'!G7,'1994'!G7,'1995'!G7,'1996'!G7,'1997'!G7,'1998'!G7,'1999'!G7,'2000'!G7,'2001'!G7,'2002'!G7,'2003'!G7,'2004'!G7,'2005'!G7,'2006'!G7,'2007'!G7,'2008'!G7,'2009'!G7,'2010'!G7,'2011'!G7,'2012'!G7,'2013'!G7,'2014'!G7,'2015'!G7,'2016'!G7,'2017'!G7,'2018'!G7,'2019'!G7,'2020'!G7,'2021'!G7,'2022'!G7,'2023'!G7,'2024'!G7,'2025'!G7)</f>
        <v/>
      </c>
      <c r="H7" s="8">
        <f>AVERAGE('1991'!H7,'1992'!H7,'1993'!H7,'1994'!H7,'1995'!H7,'1996'!H7,'1997'!H7,'1998'!H7,'1999'!H7,'2000'!H7,'2001'!H7,'2002'!H7,'2003'!H7,'2004'!H7,'2005'!H7,'2006'!H7,'2007'!H7,'2008'!H7,'2009'!H7,'2010'!H7,'2011'!H7,'2012'!H7,'2013'!H7,'2014'!H7,'2015'!H7,'2016'!H7,'2017'!H7,'2018'!H7,'2019'!H7,'2020'!H7,'2021'!H7,'2022'!H7,'2023'!H7,'2024'!H7,'2025'!H7)</f>
        <v/>
      </c>
      <c r="I7" s="8">
        <f>AVERAGE('1991'!I7,'1992'!I7,'1993'!I7,'1994'!I7,'1995'!I7,'1996'!I7,'1997'!I7,'1998'!I7,'1999'!I7,'2000'!I7,'2001'!I7,'2002'!I7,'2003'!I7,'2004'!I7,'2005'!I7,'2006'!I7,'2007'!I7,'2008'!I7,'2009'!I7,'2010'!I7,'2011'!I7,'2012'!I7,'2013'!I7,'2014'!I7,'2015'!I7,'2016'!I7,'2017'!I7,'2018'!I7,'2019'!I7,'2020'!I7,'2021'!I7,'2022'!I7,'2023'!I7,'2024'!I7,'2025'!I7)</f>
        <v/>
      </c>
      <c r="J7" s="8">
        <f>AVERAGE('1991'!J7,'1992'!J7,'1993'!J7,'1994'!J7,'1995'!J7,'1996'!J7,'1997'!J7,'1998'!J7,'1999'!J7,'2000'!J7,'2001'!J7,'2002'!J7,'2003'!J7,'2004'!J7,'2005'!J7,'2006'!J7,'2007'!J7,'2008'!J7,'2009'!J7,'2010'!J7,'2011'!J7,'2012'!J7,'2013'!J7,'2014'!J7,'2015'!J7,'2016'!J7,'2017'!J7,'2018'!J7,'2019'!J7,'2020'!J7,'2021'!J7,'2022'!J7,'2023'!J7,'2024'!J7,'2025'!J7)</f>
        <v/>
      </c>
      <c r="K7" s="8">
        <f>AVERAGE('1991'!K7,'1992'!K7,'1993'!K7,'1994'!K7,'1995'!K7,'1996'!K7,'1997'!K7,'1998'!K7,'1999'!K7,'2000'!K7,'2001'!K7,'2002'!K7,'2003'!K7,'2004'!K7,'2005'!K7,'2006'!K7,'2007'!K7,'2008'!K7,'2009'!K7,'2010'!K7,'2011'!K7,'2012'!K7,'2013'!K7,'2014'!K7,'2015'!K7,'2016'!K7,'2017'!K7,'2018'!K7,'2019'!K7,'2020'!K7,'2021'!K7,'2022'!K7,'2023'!K7,'2024'!K7,'2025'!K7)</f>
        <v/>
      </c>
      <c r="L7" s="8">
        <f>AVERAGE('1991'!L7,'1992'!L7,'1993'!L7,'1994'!L7,'1995'!L7,'1996'!L7,'1997'!L7,'1998'!L7,'1999'!L7,'2000'!L7,'2001'!L7,'2002'!L7,'2003'!L7,'2004'!L7,'2005'!L7,'2006'!L7,'2007'!L7,'2008'!L7,'2009'!L7,'2010'!L7,'2011'!L7,'2012'!L7,'2013'!L7,'2014'!L7,'2015'!L7,'2016'!L7,'2017'!L7,'2018'!L7,'2019'!L7,'2020'!L7,'2021'!L7,'2022'!L7,'2023'!L7,'2024'!L7,'2025'!L7)</f>
        <v/>
      </c>
      <c r="M7" s="8">
        <f>AVERAGE('1991'!M7,'1992'!M7,'1993'!M7,'1994'!M7,'1995'!M7,'1996'!M7,'1997'!M7,'1998'!M7,'1999'!M7,'2000'!M7,'2001'!M7,'2002'!M7,'2003'!M7,'2004'!M7,'2005'!M7,'2006'!M7,'2007'!M7,'2008'!M7,'2009'!M7,'2010'!M7,'2011'!M7,'2012'!M7,'2013'!M7,'2014'!M7,'2015'!M7,'2016'!M7,'2017'!M7,'2018'!M7,'2019'!M7,'2020'!M7,'2021'!M7,'2022'!M7,'2023'!M7,'2024'!M7,'2025'!M7)</f>
        <v/>
      </c>
      <c r="N7" s="9">
        <f>AVERAGE(B7:M7)</f>
        <v/>
      </c>
    </row>
    <row r="8">
      <c r="A8" s="7" t="inlineStr">
        <is>
          <t>Srednja minimalna</t>
        </is>
      </c>
      <c r="B8" s="8">
        <f>AVERAGE('1991'!B8,'1992'!B8,'1993'!B8,'1994'!B8,'1995'!B8,'1996'!B8,'1997'!B8,'1998'!B8,'1999'!B8,'2000'!B8,'2001'!B8,'2002'!B8,'2003'!B8,'2004'!B8,'2005'!B8,'2006'!B8,'2007'!B8,'2008'!B8,'2009'!B8,'2010'!B8,'2011'!B8,'2012'!B8,'2013'!B8,'2014'!B8,'2015'!B8,'2016'!B8,'2017'!B8,'2018'!B8,'2019'!B8,'2020'!B8,'2021'!B8,'2022'!B8,'2023'!B8,'2024'!B8,'2025'!B8)</f>
        <v/>
      </c>
      <c r="C8" s="8">
        <f>AVERAGE('1991'!C8,'1992'!C8,'1993'!C8,'1994'!C8,'1995'!C8,'1996'!C8,'1997'!C8,'1998'!C8,'1999'!C8,'2000'!C8,'2001'!C8,'2002'!C8,'2003'!C8,'2004'!C8,'2005'!C8,'2006'!C8,'2007'!C8,'2008'!C8,'2009'!C8,'2010'!C8,'2011'!C8,'2012'!C8,'2013'!C8,'2014'!C8,'2015'!C8,'2016'!C8,'2017'!C8,'2018'!C8,'2019'!C8,'2020'!C8,'2021'!C8,'2022'!C8,'2023'!C8,'2024'!C8,'2025'!C8)</f>
        <v/>
      </c>
      <c r="D8" s="8">
        <f>AVERAGE('1991'!D8,'1992'!D8,'1993'!D8,'1994'!D8,'1995'!D8,'1996'!D8,'1997'!D8,'1998'!D8,'1999'!D8,'2000'!D8,'2001'!D8,'2002'!D8,'2003'!D8,'2004'!D8,'2005'!D8,'2006'!D8,'2007'!D8,'2008'!D8,'2009'!D8,'2010'!D8,'2011'!D8,'2012'!D8,'2013'!D8,'2014'!D8,'2015'!D8,'2016'!D8,'2017'!D8,'2018'!D8,'2019'!D8,'2020'!D8,'2021'!D8,'2022'!D8,'2023'!D8,'2024'!D8,'2025'!D8)</f>
        <v/>
      </c>
      <c r="E8" s="8">
        <f>AVERAGE('1991'!E8,'1992'!E8,'1993'!E8,'1994'!E8,'1995'!E8,'1996'!E8,'1997'!E8,'1998'!E8,'1999'!E8,'2000'!E8,'2001'!E8,'2002'!E8,'2003'!E8,'2004'!E8,'2005'!E8,'2006'!E8,'2007'!E8,'2008'!E8,'2009'!E8,'2010'!E8,'2011'!E8,'2012'!E8,'2013'!E8,'2014'!E8,'2015'!E8,'2016'!E8,'2017'!E8,'2018'!E8,'2019'!E8,'2020'!E8,'2021'!E8,'2022'!E8,'2023'!E8,'2024'!E8,'2025'!E8)</f>
        <v/>
      </c>
      <c r="F8" s="8">
        <f>AVERAGE('1991'!F8,'1992'!F8,'1993'!F8,'1994'!F8,'1995'!F8,'1996'!F8,'1997'!F8,'1998'!F8,'1999'!F8,'2000'!F8,'2001'!F8,'2002'!F8,'2003'!F8,'2004'!F8,'2005'!F8,'2006'!F8,'2007'!F8,'2008'!F8,'2009'!F8,'2010'!F8,'2011'!F8,'2012'!F8,'2013'!F8,'2014'!F8,'2015'!F8,'2016'!F8,'2017'!F8,'2018'!F8,'2019'!F8,'2020'!F8,'2021'!F8,'2022'!F8,'2023'!F8,'2024'!F8,'2025'!F8)</f>
        <v/>
      </c>
      <c r="G8" s="8">
        <f>AVERAGE('1991'!G8,'1992'!G8,'1993'!G8,'1994'!G8,'1995'!G8,'1996'!G8,'1997'!G8,'1998'!G8,'1999'!G8,'2000'!G8,'2001'!G8,'2002'!G8,'2003'!G8,'2004'!G8,'2005'!G8,'2006'!G8,'2007'!G8,'2008'!G8,'2009'!G8,'2010'!G8,'2011'!G8,'2012'!G8,'2013'!G8,'2014'!G8,'2015'!G8,'2016'!G8,'2017'!G8,'2018'!G8,'2019'!G8,'2020'!G8,'2021'!G8,'2022'!G8,'2023'!G8,'2024'!G8,'2025'!G8)</f>
        <v/>
      </c>
      <c r="H8" s="8">
        <f>AVERAGE('1991'!H8,'1992'!H8,'1993'!H8,'1994'!H8,'1995'!H8,'1996'!H8,'1997'!H8,'1998'!H8,'1999'!H8,'2000'!H8,'2001'!H8,'2002'!H8,'2003'!H8,'2004'!H8,'2005'!H8,'2006'!H8,'2007'!H8,'2008'!H8,'2009'!H8,'2010'!H8,'2011'!H8,'2012'!H8,'2013'!H8,'2014'!H8,'2015'!H8,'2016'!H8,'2017'!H8,'2018'!H8,'2019'!H8,'2020'!H8,'2021'!H8,'2022'!H8,'2023'!H8,'2024'!H8,'2025'!H8)</f>
        <v/>
      </c>
      <c r="I8" s="8">
        <f>AVERAGE('1991'!I8,'1992'!I8,'1993'!I8,'1994'!I8,'1995'!I8,'1996'!I8,'1997'!I8,'1998'!I8,'1999'!I8,'2000'!I8,'2001'!I8,'2002'!I8,'2003'!I8,'2004'!I8,'2005'!I8,'2006'!I8,'2007'!I8,'2008'!I8,'2009'!I8,'2010'!I8,'2011'!I8,'2012'!I8,'2013'!I8,'2014'!I8,'2015'!I8,'2016'!I8,'2017'!I8,'2018'!I8,'2019'!I8,'2020'!I8,'2021'!I8,'2022'!I8,'2023'!I8,'2024'!I8,'2025'!I8)</f>
        <v/>
      </c>
      <c r="J8" s="8">
        <f>AVERAGE('1991'!J8,'1992'!J8,'1993'!J8,'1994'!J8,'1995'!J8,'1996'!J8,'1997'!J8,'1998'!J8,'1999'!J8,'2000'!J8,'2001'!J8,'2002'!J8,'2003'!J8,'2004'!J8,'2005'!J8,'2006'!J8,'2007'!J8,'2008'!J8,'2009'!J8,'2010'!J8,'2011'!J8,'2012'!J8,'2013'!J8,'2014'!J8,'2015'!J8,'2016'!J8,'2017'!J8,'2018'!J8,'2019'!J8,'2020'!J8,'2021'!J8,'2022'!J8,'2023'!J8,'2024'!J8,'2025'!J8)</f>
        <v/>
      </c>
      <c r="K8" s="8">
        <f>AVERAGE('1991'!K8,'1992'!K8,'1993'!K8,'1994'!K8,'1995'!K8,'1996'!K8,'1997'!K8,'1998'!K8,'1999'!K8,'2000'!K8,'2001'!K8,'2002'!K8,'2003'!K8,'2004'!K8,'2005'!K8,'2006'!K8,'2007'!K8,'2008'!K8,'2009'!K8,'2010'!K8,'2011'!K8,'2012'!K8,'2013'!K8,'2014'!K8,'2015'!K8,'2016'!K8,'2017'!K8,'2018'!K8,'2019'!K8,'2020'!K8,'2021'!K8,'2022'!K8,'2023'!K8,'2024'!K8,'2025'!K8)</f>
        <v/>
      </c>
      <c r="L8" s="8">
        <f>AVERAGE('1991'!L8,'1992'!L8,'1993'!L8,'1994'!L8,'1995'!L8,'1996'!L8,'1997'!L8,'1998'!L8,'1999'!L8,'2000'!L8,'2001'!L8,'2002'!L8,'2003'!L8,'2004'!L8,'2005'!L8,'2006'!L8,'2007'!L8,'2008'!L8,'2009'!L8,'2010'!L8,'2011'!L8,'2012'!L8,'2013'!L8,'2014'!L8,'2015'!L8,'2016'!L8,'2017'!L8,'2018'!L8,'2019'!L8,'2020'!L8,'2021'!L8,'2022'!L8,'2023'!L8,'2024'!L8,'2025'!L8)</f>
        <v/>
      </c>
      <c r="M8" s="8">
        <f>AVERAGE('1991'!M8,'1992'!M8,'1993'!M8,'1994'!M8,'1995'!M8,'1996'!M8,'1997'!M8,'1998'!M8,'1999'!M8,'2000'!M8,'2001'!M8,'2002'!M8,'2003'!M8,'2004'!M8,'2005'!M8,'2006'!M8,'2007'!M8,'2008'!M8,'2009'!M8,'2010'!M8,'2011'!M8,'2012'!M8,'2013'!M8,'2014'!M8,'2015'!M8,'2016'!M8,'2017'!M8,'2018'!M8,'2019'!M8,'2020'!M8,'2021'!M8,'2022'!M8,'2023'!M8,'2024'!M8,'2025'!M8)</f>
        <v/>
      </c>
      <c r="N8" s="9">
        <f>AVERAGE(B8:M8)</f>
        <v/>
      </c>
    </row>
    <row r="9">
      <c r="A9" s="7" t="inlineStr">
        <is>
          <t>Apsolutni maksimum</t>
        </is>
      </c>
      <c r="B9" s="8">
        <f>AVERAGE('1991'!B9,'1992'!B9,'1993'!B9,'1994'!B9,'1995'!B9,'1996'!B9,'1997'!B9,'1998'!B9,'1999'!B9,'2000'!B9,'2001'!B9,'2002'!B9,'2003'!B9,'2004'!B9,'2005'!B9,'2006'!B9,'2007'!B9,'2008'!B9,'2009'!B9,'2010'!B9,'2011'!B9,'2012'!B9,'2013'!B9,'2014'!B9,'2015'!B9,'2016'!B9,'2017'!B9,'2018'!B9,'2019'!B9,'2020'!B9,'2021'!B9,'2022'!B9,'2023'!B9,'2024'!B9,'2025'!B9)</f>
        <v/>
      </c>
      <c r="C9" s="8">
        <f>AVERAGE('1991'!C9,'1992'!C9,'1993'!C9,'1994'!C9,'1995'!C9,'1996'!C9,'1997'!C9,'1998'!C9,'1999'!C9,'2000'!C9,'2001'!C9,'2002'!C9,'2003'!C9,'2004'!C9,'2005'!C9,'2006'!C9,'2007'!C9,'2008'!C9,'2009'!C9,'2010'!C9,'2011'!C9,'2012'!C9,'2013'!C9,'2014'!C9,'2015'!C9,'2016'!C9,'2017'!C9,'2018'!C9,'2019'!C9,'2020'!C9,'2021'!C9,'2022'!C9,'2023'!C9,'2024'!C9,'2025'!C9)</f>
        <v/>
      </c>
      <c r="D9" s="8">
        <f>AVERAGE('1991'!D9,'1992'!D9,'1993'!D9,'1994'!D9,'1995'!D9,'1996'!D9,'1997'!D9,'1998'!D9,'1999'!D9,'2000'!D9,'2001'!D9,'2002'!D9,'2003'!D9,'2004'!D9,'2005'!D9,'2006'!D9,'2007'!D9,'2008'!D9,'2009'!D9,'2010'!D9,'2011'!D9,'2012'!D9,'2013'!D9,'2014'!D9,'2015'!D9,'2016'!D9,'2017'!D9,'2018'!D9,'2019'!D9,'2020'!D9,'2021'!D9,'2022'!D9,'2023'!D9,'2024'!D9,'2025'!D9)</f>
        <v/>
      </c>
      <c r="E9" s="8">
        <f>AVERAGE('1991'!E9,'1992'!E9,'1993'!E9,'1994'!E9,'1995'!E9,'1996'!E9,'1997'!E9,'1998'!E9,'1999'!E9,'2000'!E9,'2001'!E9,'2002'!E9,'2003'!E9,'2004'!E9,'2005'!E9,'2006'!E9,'2007'!E9,'2008'!E9,'2009'!E9,'2010'!E9,'2011'!E9,'2012'!E9,'2013'!E9,'2014'!E9,'2015'!E9,'2016'!E9,'2017'!E9,'2018'!E9,'2019'!E9,'2020'!E9,'2021'!E9,'2022'!E9,'2023'!E9,'2024'!E9,'2025'!E9)</f>
        <v/>
      </c>
      <c r="F9" s="8">
        <f>AVERAGE('1991'!F9,'1992'!F9,'1993'!F9,'1994'!F9,'1995'!F9,'1996'!F9,'1997'!F9,'1998'!F9,'1999'!F9,'2000'!F9,'2001'!F9,'2002'!F9,'2003'!F9,'2004'!F9,'2005'!F9,'2006'!F9,'2007'!F9,'2008'!F9,'2009'!F9,'2010'!F9,'2011'!F9,'2012'!F9,'2013'!F9,'2014'!F9,'2015'!F9,'2016'!F9,'2017'!F9,'2018'!F9,'2019'!F9,'2020'!F9,'2021'!F9,'2022'!F9,'2023'!F9,'2024'!F9,'2025'!F9)</f>
        <v/>
      </c>
      <c r="G9" s="8">
        <f>AVERAGE('1991'!G9,'1992'!G9,'1993'!G9,'1994'!G9,'1995'!G9,'1996'!G9,'1997'!G9,'1998'!G9,'1999'!G9,'2000'!G9,'2001'!G9,'2002'!G9,'2003'!G9,'2004'!G9,'2005'!G9,'2006'!G9,'2007'!G9,'2008'!G9,'2009'!G9,'2010'!G9,'2011'!G9,'2012'!G9,'2013'!G9,'2014'!G9,'2015'!G9,'2016'!G9,'2017'!G9,'2018'!G9,'2019'!G9,'2020'!G9,'2021'!G9,'2022'!G9,'2023'!G9,'2024'!G9,'2025'!G9)</f>
        <v/>
      </c>
      <c r="H9" s="8">
        <f>AVERAGE('1991'!H9,'1992'!H9,'1993'!H9,'1994'!H9,'1995'!H9,'1996'!H9,'1997'!H9,'1998'!H9,'1999'!H9,'2000'!H9,'2001'!H9,'2002'!H9,'2003'!H9,'2004'!H9,'2005'!H9,'2006'!H9,'2007'!H9,'2008'!H9,'2009'!H9,'2010'!H9,'2011'!H9,'2012'!H9,'2013'!H9,'2014'!H9,'2015'!H9,'2016'!H9,'2017'!H9,'2018'!H9,'2019'!H9,'2020'!H9,'2021'!H9,'2022'!H9,'2023'!H9,'2024'!H9,'2025'!H9)</f>
        <v/>
      </c>
      <c r="I9" s="8">
        <f>AVERAGE('1991'!I9,'1992'!I9,'1993'!I9,'1994'!I9,'1995'!I9,'1996'!I9,'1997'!I9,'1998'!I9,'1999'!I9,'2000'!I9,'2001'!I9,'2002'!I9,'2003'!I9,'2004'!I9,'2005'!I9,'2006'!I9,'2007'!I9,'2008'!I9,'2009'!I9,'2010'!I9,'2011'!I9,'2012'!I9,'2013'!I9,'2014'!I9,'2015'!I9,'2016'!I9,'2017'!I9,'2018'!I9,'2019'!I9,'2020'!I9,'2021'!I9,'2022'!I9,'2023'!I9,'2024'!I9,'2025'!I9)</f>
        <v/>
      </c>
      <c r="J9" s="8">
        <f>AVERAGE('1991'!J9,'1992'!J9,'1993'!J9,'1994'!J9,'1995'!J9,'1996'!J9,'1997'!J9,'1998'!J9,'1999'!J9,'2000'!J9,'2001'!J9,'2002'!J9,'2003'!J9,'2004'!J9,'2005'!J9,'2006'!J9,'2007'!J9,'2008'!J9,'2009'!J9,'2010'!J9,'2011'!J9,'2012'!J9,'2013'!J9,'2014'!J9,'2015'!J9,'2016'!J9,'2017'!J9,'2018'!J9,'2019'!J9,'2020'!J9,'2021'!J9,'2022'!J9,'2023'!J9,'2024'!J9,'2025'!J9)</f>
        <v/>
      </c>
      <c r="K9" s="8">
        <f>AVERAGE('1991'!K9,'1992'!K9,'1993'!K9,'1994'!K9,'1995'!K9,'1996'!K9,'1997'!K9,'1998'!K9,'1999'!K9,'2000'!K9,'2001'!K9,'2002'!K9,'2003'!K9,'2004'!K9,'2005'!K9,'2006'!K9,'2007'!K9,'2008'!K9,'2009'!K9,'2010'!K9,'2011'!K9,'2012'!K9,'2013'!K9,'2014'!K9,'2015'!K9,'2016'!K9,'2017'!K9,'2018'!K9,'2019'!K9,'2020'!K9,'2021'!K9,'2022'!K9,'2023'!K9,'2024'!K9,'2025'!K9)</f>
        <v/>
      </c>
      <c r="L9" s="8">
        <f>AVERAGE('1991'!L9,'1992'!L9,'1993'!L9,'1994'!L9,'1995'!L9,'1996'!L9,'1997'!L9,'1998'!L9,'1999'!L9,'2000'!L9,'2001'!L9,'2002'!L9,'2003'!L9,'2004'!L9,'2005'!L9,'2006'!L9,'2007'!L9,'2008'!L9,'2009'!L9,'2010'!L9,'2011'!L9,'2012'!L9,'2013'!L9,'2014'!L9,'2015'!L9,'2016'!L9,'2017'!L9,'2018'!L9,'2019'!L9,'2020'!L9,'2021'!L9,'2022'!L9,'2023'!L9,'2024'!L9,'2025'!L9)</f>
        <v/>
      </c>
      <c r="M9" s="8">
        <f>AVERAGE('1991'!M9,'1992'!M9,'1993'!M9,'1994'!M9,'1995'!M9,'1996'!M9,'1997'!M9,'1998'!M9,'1999'!M9,'2000'!M9,'2001'!M9,'2002'!M9,'2003'!M9,'2004'!M9,'2005'!M9,'2006'!M9,'2007'!M9,'2008'!M9,'2009'!M9,'2010'!M9,'2011'!M9,'2012'!M9,'2013'!M9,'2014'!M9,'2015'!M9,'2016'!M9,'2017'!M9,'2018'!M9,'2019'!M9,'2020'!M9,'2021'!M9,'2022'!M9,'2023'!M9,'2024'!M9,'2025'!M9)</f>
        <v/>
      </c>
      <c r="N9" s="9">
        <f>MAX(B9:M9)</f>
        <v/>
      </c>
    </row>
    <row r="10">
      <c r="A10" s="7" t="inlineStr">
        <is>
          <t>Apsolutni minimum</t>
        </is>
      </c>
      <c r="B10" s="8">
        <f>AVERAGE('1991'!B10,'1992'!B10,'1993'!B10,'1994'!B10,'1995'!B10,'1996'!B10,'1997'!B10,'1998'!B10,'1999'!B10,'2000'!B10,'2001'!B10,'2002'!B10,'2003'!B10,'2004'!B10,'2005'!B10,'2006'!B10,'2007'!B10,'2008'!B10,'2009'!B10,'2010'!B10,'2011'!B10,'2012'!B10,'2013'!B10,'2014'!B10,'2015'!B10,'2016'!B10,'2017'!B10,'2018'!B10,'2019'!B10,'2020'!B10,'2021'!B10,'2022'!B10,'2023'!B10,'2024'!B10,'2025'!B10)</f>
        <v/>
      </c>
      <c r="C10" s="8">
        <f>AVERAGE('1991'!C10,'1992'!C10,'1993'!C10,'1994'!C10,'1995'!C10,'1996'!C10,'1997'!C10,'1998'!C10,'1999'!C10,'2000'!C10,'2001'!C10,'2002'!C10,'2003'!C10,'2004'!C10,'2005'!C10,'2006'!C10,'2007'!C10,'2008'!C10,'2009'!C10,'2010'!C10,'2011'!C10,'2012'!C10,'2013'!C10,'2014'!C10,'2015'!C10,'2016'!C10,'2017'!C10,'2018'!C10,'2019'!C10,'2020'!C10,'2021'!C10,'2022'!C10,'2023'!C10,'2024'!C10,'2025'!C10)</f>
        <v/>
      </c>
      <c r="D10" s="8">
        <f>AVERAGE('1991'!D10,'1992'!D10,'1993'!D10,'1994'!D10,'1995'!D10,'1996'!D10,'1997'!D10,'1998'!D10,'1999'!D10,'2000'!D10,'2001'!D10,'2002'!D10,'2003'!D10,'2004'!D10,'2005'!D10,'2006'!D10,'2007'!D10,'2008'!D10,'2009'!D10,'2010'!D10,'2011'!D10,'2012'!D10,'2013'!D10,'2014'!D10,'2015'!D10,'2016'!D10,'2017'!D10,'2018'!D10,'2019'!D10,'2020'!D10,'2021'!D10,'2022'!D10,'2023'!D10,'2024'!D10,'2025'!D10)</f>
        <v/>
      </c>
      <c r="E10" s="8">
        <f>AVERAGE('1991'!E10,'1992'!E10,'1993'!E10,'1994'!E10,'1995'!E10,'1996'!E10,'1997'!E10,'1998'!E10,'1999'!E10,'2000'!E10,'2001'!E10,'2002'!E10,'2003'!E10,'2004'!E10,'2005'!E10,'2006'!E10,'2007'!E10,'2008'!E10,'2009'!E10,'2010'!E10,'2011'!E10,'2012'!E10,'2013'!E10,'2014'!E10,'2015'!E10,'2016'!E10,'2017'!E10,'2018'!E10,'2019'!E10,'2020'!E10,'2021'!E10,'2022'!E10,'2023'!E10,'2024'!E10,'2025'!E10)</f>
        <v/>
      </c>
      <c r="F10" s="8">
        <f>AVERAGE('1991'!F10,'1992'!F10,'1993'!F10,'1994'!F10,'1995'!F10,'1996'!F10,'1997'!F10,'1998'!F10,'1999'!F10,'2000'!F10,'2001'!F10,'2002'!F10,'2003'!F10,'2004'!F10,'2005'!F10,'2006'!F10,'2007'!F10,'2008'!F10,'2009'!F10,'2010'!F10,'2011'!F10,'2012'!F10,'2013'!F10,'2014'!F10,'2015'!F10,'2016'!F10,'2017'!F10,'2018'!F10,'2019'!F10,'2020'!F10,'2021'!F10,'2022'!F10,'2023'!F10,'2024'!F10,'2025'!F10)</f>
        <v/>
      </c>
      <c r="G10" s="8">
        <f>AVERAGE('1991'!G10,'1992'!G10,'1993'!G10,'1994'!G10,'1995'!G10,'1996'!G10,'1997'!G10,'1998'!G10,'1999'!G10,'2000'!G10,'2001'!G10,'2002'!G10,'2003'!G10,'2004'!G10,'2005'!G10,'2006'!G10,'2007'!G10,'2008'!G10,'2009'!G10,'2010'!G10,'2011'!G10,'2012'!G10,'2013'!G10,'2014'!G10,'2015'!G10,'2016'!G10,'2017'!G10,'2018'!G10,'2019'!G10,'2020'!G10,'2021'!G10,'2022'!G10,'2023'!G10,'2024'!G10,'2025'!G10)</f>
        <v/>
      </c>
      <c r="H10" s="8">
        <f>AVERAGE('1991'!H10,'1992'!H10,'1993'!H10,'1994'!H10,'1995'!H10,'1996'!H10,'1997'!H10,'1998'!H10,'1999'!H10,'2000'!H10,'2001'!H10,'2002'!H10,'2003'!H10,'2004'!H10,'2005'!H10,'2006'!H10,'2007'!H10,'2008'!H10,'2009'!H10,'2010'!H10,'2011'!H10,'2012'!H10,'2013'!H10,'2014'!H10,'2015'!H10,'2016'!H10,'2017'!H10,'2018'!H10,'2019'!H10,'2020'!H10,'2021'!H10,'2022'!H10,'2023'!H10,'2024'!H10,'2025'!H10)</f>
        <v/>
      </c>
      <c r="I10" s="8">
        <f>AVERAGE('1991'!I10,'1992'!I10,'1993'!I10,'1994'!I10,'1995'!I10,'1996'!I10,'1997'!I10,'1998'!I10,'1999'!I10,'2000'!I10,'2001'!I10,'2002'!I10,'2003'!I10,'2004'!I10,'2005'!I10,'2006'!I10,'2007'!I10,'2008'!I10,'2009'!I10,'2010'!I10,'2011'!I10,'2012'!I10,'2013'!I10,'2014'!I10,'2015'!I10,'2016'!I10,'2017'!I10,'2018'!I10,'2019'!I10,'2020'!I10,'2021'!I10,'2022'!I10,'2023'!I10,'2024'!I10,'2025'!I10)</f>
        <v/>
      </c>
      <c r="J10" s="8">
        <f>AVERAGE('1991'!J10,'1992'!J10,'1993'!J10,'1994'!J10,'1995'!J10,'1996'!J10,'1997'!J10,'1998'!J10,'1999'!J10,'2000'!J10,'2001'!J10,'2002'!J10,'2003'!J10,'2004'!J10,'2005'!J10,'2006'!J10,'2007'!J10,'2008'!J10,'2009'!J10,'2010'!J10,'2011'!J10,'2012'!J10,'2013'!J10,'2014'!J10,'2015'!J10,'2016'!J10,'2017'!J10,'2018'!J10,'2019'!J10,'2020'!J10,'2021'!J10,'2022'!J10,'2023'!J10,'2024'!J10,'2025'!J10)</f>
        <v/>
      </c>
      <c r="K10" s="8">
        <f>AVERAGE('1991'!K10,'1992'!K10,'1993'!K10,'1994'!K10,'1995'!K10,'1996'!K10,'1997'!K10,'1998'!K10,'1999'!K10,'2000'!K10,'2001'!K10,'2002'!K10,'2003'!K10,'2004'!K10,'2005'!K10,'2006'!K10,'2007'!K10,'2008'!K10,'2009'!K10,'2010'!K10,'2011'!K10,'2012'!K10,'2013'!K10,'2014'!K10,'2015'!K10,'2016'!K10,'2017'!K10,'2018'!K10,'2019'!K10,'2020'!K10,'2021'!K10,'2022'!K10,'2023'!K10,'2024'!K10,'2025'!K10)</f>
        <v/>
      </c>
      <c r="L10" s="8">
        <f>AVERAGE('1991'!L10,'1992'!L10,'1993'!L10,'1994'!L10,'1995'!L10,'1996'!L10,'1997'!L10,'1998'!L10,'1999'!L10,'2000'!L10,'2001'!L10,'2002'!L10,'2003'!L10,'2004'!L10,'2005'!L10,'2006'!L10,'2007'!L10,'2008'!L10,'2009'!L10,'2010'!L10,'2011'!L10,'2012'!L10,'2013'!L10,'2014'!L10,'2015'!L10,'2016'!L10,'2017'!L10,'2018'!L10,'2019'!L10,'2020'!L10,'2021'!L10,'2022'!L10,'2023'!L10,'2024'!L10,'2025'!L10)</f>
        <v/>
      </c>
      <c r="M10" s="8">
        <f>AVERAGE('1991'!M10,'1992'!M10,'1993'!M10,'1994'!M10,'1995'!M10,'1996'!M10,'1997'!M10,'1998'!M10,'1999'!M10,'2000'!M10,'2001'!M10,'2002'!M10,'2003'!M10,'2004'!M10,'2005'!M10,'2006'!M10,'2007'!M10,'2008'!M10,'2009'!M10,'2010'!M10,'2011'!M10,'2012'!M10,'2013'!M10,'2014'!M10,'2015'!M10,'2016'!M10,'2017'!M10,'2018'!M10,'2019'!M10,'2020'!M10,'2021'!M10,'2022'!M10,'2023'!M10,'2024'!M10,'2025'!M10)</f>
        <v/>
      </c>
      <c r="N10" s="9">
        <f>MIN(B10:M10)</f>
        <v/>
      </c>
    </row>
    <row r="11">
      <c r="A11" s="7" t="inlineStr">
        <is>
          <t>Sr. br. mraznih dana</t>
        </is>
      </c>
      <c r="B11" s="8">
        <f>AVERAGE('1991'!B11,'1992'!B11,'1993'!B11,'1994'!B11,'1995'!B11,'1996'!B11,'1997'!B11,'1998'!B11,'1999'!B11,'2000'!B11,'2001'!B11,'2002'!B11,'2003'!B11,'2004'!B11,'2005'!B11,'2006'!B11,'2007'!B11,'2008'!B11,'2009'!B11,'2010'!B11,'2011'!B11,'2012'!B11,'2013'!B11,'2014'!B11,'2015'!B11,'2016'!B11,'2017'!B11,'2018'!B11,'2019'!B11,'2020'!B11,'2021'!B11,'2022'!B11,'2023'!B11,'2024'!B11,'2025'!B11)</f>
        <v/>
      </c>
      <c r="C11" s="8">
        <f>AVERAGE('1991'!C11,'1992'!C11,'1993'!C11,'1994'!C11,'1995'!C11,'1996'!C11,'1997'!C11,'1998'!C11,'1999'!C11,'2000'!C11,'2001'!C11,'2002'!C11,'2003'!C11,'2004'!C11,'2005'!C11,'2006'!C11,'2007'!C11,'2008'!C11,'2009'!C11,'2010'!C11,'2011'!C11,'2012'!C11,'2013'!C11,'2014'!C11,'2015'!C11,'2016'!C11,'2017'!C11,'2018'!C11,'2019'!C11,'2020'!C11,'2021'!C11,'2022'!C11,'2023'!C11,'2024'!C11,'2025'!C11)</f>
        <v/>
      </c>
      <c r="D11" s="8">
        <f>AVERAGE('1991'!D11,'1992'!D11,'1993'!D11,'1994'!D11,'1995'!D11,'1996'!D11,'1997'!D11,'1998'!D11,'1999'!D11,'2000'!D11,'2001'!D11,'2002'!D11,'2003'!D11,'2004'!D11,'2005'!D11,'2006'!D11,'2007'!D11,'2008'!D11,'2009'!D11,'2010'!D11,'2011'!D11,'2012'!D11,'2013'!D11,'2014'!D11,'2015'!D11,'2016'!D11,'2017'!D11,'2018'!D11,'2019'!D11,'2020'!D11,'2021'!D11,'2022'!D11,'2023'!D11,'2024'!D11,'2025'!D11)</f>
        <v/>
      </c>
      <c r="E11" s="8">
        <f>AVERAGE('1991'!E11,'1992'!E11,'1993'!E11,'1994'!E11,'1995'!E11,'1996'!E11,'1997'!E11,'1998'!E11,'1999'!E11,'2000'!E11,'2001'!E11,'2002'!E11,'2003'!E11,'2004'!E11,'2005'!E11,'2006'!E11,'2007'!E11,'2008'!E11,'2009'!E11,'2010'!E11,'2011'!E11,'2012'!E11,'2013'!E11,'2014'!E11,'2015'!E11,'2016'!E11,'2017'!E11,'2018'!E11,'2019'!E11,'2020'!E11,'2021'!E11,'2022'!E11,'2023'!E11,'2024'!E11,'2025'!E11)</f>
        <v/>
      </c>
      <c r="F11" s="8">
        <f>AVERAGE('1991'!F11,'1992'!F11,'1993'!F11,'1994'!F11,'1995'!F11,'1996'!F11,'1997'!F11,'1998'!F11,'1999'!F11,'2000'!F11,'2001'!F11,'2002'!F11,'2003'!F11,'2004'!F11,'2005'!F11,'2006'!F11,'2007'!F11,'2008'!F11,'2009'!F11,'2010'!F11,'2011'!F11,'2012'!F11,'2013'!F11,'2014'!F11,'2015'!F11,'2016'!F11,'2017'!F11,'2018'!F11,'2019'!F11,'2020'!F11,'2021'!F11,'2022'!F11,'2023'!F11,'2024'!F11,'2025'!F11)</f>
        <v/>
      </c>
      <c r="G11" s="8">
        <f>AVERAGE('1991'!G11,'1992'!G11,'1993'!G11,'1994'!G11,'1995'!G11,'1996'!G11,'1997'!G11,'1998'!G11,'1999'!G11,'2000'!G11,'2001'!G11,'2002'!G11,'2003'!G11,'2004'!G11,'2005'!G11,'2006'!G11,'2007'!G11,'2008'!G11,'2009'!G11,'2010'!G11,'2011'!G11,'2012'!G11,'2013'!G11,'2014'!G11,'2015'!G11,'2016'!G11,'2017'!G11,'2018'!G11,'2019'!G11,'2020'!G11,'2021'!G11,'2022'!G11,'2023'!G11,'2024'!G11,'2025'!G11)</f>
        <v/>
      </c>
      <c r="H11" s="8">
        <f>AVERAGE('1991'!H11,'1992'!H11,'1993'!H11,'1994'!H11,'1995'!H11,'1996'!H11,'1997'!H11,'1998'!H11,'1999'!H11,'2000'!H11,'2001'!H11,'2002'!H11,'2003'!H11,'2004'!H11,'2005'!H11,'2006'!H11,'2007'!H11,'2008'!H11,'2009'!H11,'2010'!H11,'2011'!H11,'2012'!H11,'2013'!H11,'2014'!H11,'2015'!H11,'2016'!H11,'2017'!H11,'2018'!H11,'2019'!H11,'2020'!H11,'2021'!H11,'2022'!H11,'2023'!H11,'2024'!H11,'2025'!H11)</f>
        <v/>
      </c>
      <c r="I11" s="8">
        <f>AVERAGE('1991'!I11,'1992'!I11,'1993'!I11,'1994'!I11,'1995'!I11,'1996'!I11,'1997'!I11,'1998'!I11,'1999'!I11,'2000'!I11,'2001'!I11,'2002'!I11,'2003'!I11,'2004'!I11,'2005'!I11,'2006'!I11,'2007'!I11,'2008'!I11,'2009'!I11,'2010'!I11,'2011'!I11,'2012'!I11,'2013'!I11,'2014'!I11,'2015'!I11,'2016'!I11,'2017'!I11,'2018'!I11,'2019'!I11,'2020'!I11,'2021'!I11,'2022'!I11,'2023'!I11,'2024'!I11,'2025'!I11)</f>
        <v/>
      </c>
      <c r="J11" s="8">
        <f>AVERAGE('1991'!J11,'1992'!J11,'1993'!J11,'1994'!J11,'1995'!J11,'1996'!J11,'1997'!J11,'1998'!J11,'1999'!J11,'2000'!J11,'2001'!J11,'2002'!J11,'2003'!J11,'2004'!J11,'2005'!J11,'2006'!J11,'2007'!J11,'2008'!J11,'2009'!J11,'2010'!J11,'2011'!J11,'2012'!J11,'2013'!J11,'2014'!J11,'2015'!J11,'2016'!J11,'2017'!J11,'2018'!J11,'2019'!J11,'2020'!J11,'2021'!J11,'2022'!J11,'2023'!J11,'2024'!J11,'2025'!J11)</f>
        <v/>
      </c>
      <c r="K11" s="8">
        <f>AVERAGE('1991'!K11,'1992'!K11,'1993'!K11,'1994'!K11,'1995'!K11,'1996'!K11,'1997'!K11,'1998'!K11,'1999'!K11,'2000'!K11,'2001'!K11,'2002'!K11,'2003'!K11,'2004'!K11,'2005'!K11,'2006'!K11,'2007'!K11,'2008'!K11,'2009'!K11,'2010'!K11,'2011'!K11,'2012'!K11,'2013'!K11,'2014'!K11,'2015'!K11,'2016'!K11,'2017'!K11,'2018'!K11,'2019'!K11,'2020'!K11,'2021'!K11,'2022'!K11,'2023'!K11,'2024'!K11,'2025'!K11)</f>
        <v/>
      </c>
      <c r="L11" s="8">
        <f>AVERAGE('1991'!L11,'1992'!L11,'1993'!L11,'1994'!L11,'1995'!L11,'1996'!L11,'1997'!L11,'1998'!L11,'1999'!L11,'2000'!L11,'2001'!L11,'2002'!L11,'2003'!L11,'2004'!L11,'2005'!L11,'2006'!L11,'2007'!L11,'2008'!L11,'2009'!L11,'2010'!L11,'2011'!L11,'2012'!L11,'2013'!L11,'2014'!L11,'2015'!L11,'2016'!L11,'2017'!L11,'2018'!L11,'2019'!L11,'2020'!L11,'2021'!L11,'2022'!L11,'2023'!L11,'2024'!L11,'2025'!L11)</f>
        <v/>
      </c>
      <c r="M11" s="8">
        <f>AVERAGE('1991'!M11,'1992'!M11,'1993'!M11,'1994'!M11,'1995'!M11,'1996'!M11,'1997'!M11,'1998'!M11,'1999'!M11,'2000'!M11,'2001'!M11,'2002'!M11,'2003'!M11,'2004'!M11,'2005'!M11,'2006'!M11,'2007'!M11,'2008'!M11,'2009'!M11,'2010'!M11,'2011'!M11,'2012'!M11,'2013'!M11,'2014'!M11,'2015'!M11,'2016'!M11,'2017'!M11,'2018'!M11,'2019'!M11,'2020'!M11,'2021'!M11,'2022'!M11,'2023'!M11,'2024'!M11,'2025'!M11)</f>
        <v/>
      </c>
      <c r="N11" s="9">
        <f>SUM(B11:M11)</f>
        <v/>
      </c>
    </row>
    <row r="12">
      <c r="A12" s="7" t="inlineStr">
        <is>
          <t>Sr. br. tropskih dana</t>
        </is>
      </c>
      <c r="B12" s="8">
        <f>AVERAGE('1991'!B12,'1992'!B12,'1993'!B12,'1994'!B12,'1995'!B12,'1996'!B12,'1997'!B12,'1998'!B12,'1999'!B12,'2000'!B12,'2001'!B12,'2002'!B12,'2003'!B12,'2004'!B12,'2005'!B12,'2006'!B12,'2007'!B12,'2008'!B12,'2009'!B12,'2010'!B12,'2011'!B12,'2012'!B12,'2013'!B12,'2014'!B12,'2015'!B12,'2016'!B12,'2017'!B12,'2018'!B12,'2019'!B12,'2020'!B12,'2021'!B12,'2022'!B12,'2023'!B12,'2024'!B12,'2025'!B12)</f>
        <v/>
      </c>
      <c r="C12" s="8">
        <f>AVERAGE('1991'!C12,'1992'!C12,'1993'!C12,'1994'!C12,'1995'!C12,'1996'!C12,'1997'!C12,'1998'!C12,'1999'!C12,'2000'!C12,'2001'!C12,'2002'!C12,'2003'!C12,'2004'!C12,'2005'!C12,'2006'!C12,'2007'!C12,'2008'!C12,'2009'!C12,'2010'!C12,'2011'!C12,'2012'!C12,'2013'!C12,'2014'!C12,'2015'!C12,'2016'!C12,'2017'!C12,'2018'!C12,'2019'!C12,'2020'!C12,'2021'!C12,'2022'!C12,'2023'!C12,'2024'!C12,'2025'!C12)</f>
        <v/>
      </c>
      <c r="D12" s="8">
        <f>AVERAGE('1991'!D12,'1992'!D12,'1993'!D12,'1994'!D12,'1995'!D12,'1996'!D12,'1997'!D12,'1998'!D12,'1999'!D12,'2000'!D12,'2001'!D12,'2002'!D12,'2003'!D12,'2004'!D12,'2005'!D12,'2006'!D12,'2007'!D12,'2008'!D12,'2009'!D12,'2010'!D12,'2011'!D12,'2012'!D12,'2013'!D12,'2014'!D12,'2015'!D12,'2016'!D12,'2017'!D12,'2018'!D12,'2019'!D12,'2020'!D12,'2021'!D12,'2022'!D12,'2023'!D12,'2024'!D12,'2025'!D12)</f>
        <v/>
      </c>
      <c r="E12" s="8">
        <f>AVERAGE('1991'!E12,'1992'!E12,'1993'!E12,'1994'!E12,'1995'!E12,'1996'!E12,'1997'!E12,'1998'!E12,'1999'!E12,'2000'!E12,'2001'!E12,'2002'!E12,'2003'!E12,'2004'!E12,'2005'!E12,'2006'!E12,'2007'!E12,'2008'!E12,'2009'!E12,'2010'!E12,'2011'!E12,'2012'!E12,'2013'!E12,'2014'!E12,'2015'!E12,'2016'!E12,'2017'!E12,'2018'!E12,'2019'!E12,'2020'!E12,'2021'!E12,'2022'!E12,'2023'!E12,'2024'!E12,'2025'!E12)</f>
        <v/>
      </c>
      <c r="F12" s="8">
        <f>AVERAGE('1991'!F12,'1992'!F12,'1993'!F12,'1994'!F12,'1995'!F12,'1996'!F12,'1997'!F12,'1998'!F12,'1999'!F12,'2000'!F12,'2001'!F12,'2002'!F12,'2003'!F12,'2004'!F12,'2005'!F12,'2006'!F12,'2007'!F12,'2008'!F12,'2009'!F12,'2010'!F12,'2011'!F12,'2012'!F12,'2013'!F12,'2014'!F12,'2015'!F12,'2016'!F12,'2017'!F12,'2018'!F12,'2019'!F12,'2020'!F12,'2021'!F12,'2022'!F12,'2023'!F12,'2024'!F12,'2025'!F12)</f>
        <v/>
      </c>
      <c r="G12" s="8">
        <f>AVERAGE('1991'!G12,'1992'!G12,'1993'!G12,'1994'!G12,'1995'!G12,'1996'!G12,'1997'!G12,'1998'!G12,'1999'!G12,'2000'!G12,'2001'!G12,'2002'!G12,'2003'!G12,'2004'!G12,'2005'!G12,'2006'!G12,'2007'!G12,'2008'!G12,'2009'!G12,'2010'!G12,'2011'!G12,'2012'!G12,'2013'!G12,'2014'!G12,'2015'!G12,'2016'!G12,'2017'!G12,'2018'!G12,'2019'!G12,'2020'!G12,'2021'!G12,'2022'!G12,'2023'!G12,'2024'!G12,'2025'!G12)</f>
        <v/>
      </c>
      <c r="H12" s="8">
        <f>AVERAGE('1991'!H12,'1992'!H12,'1993'!H12,'1994'!H12,'1995'!H12,'1996'!H12,'1997'!H12,'1998'!H12,'1999'!H12,'2000'!H12,'2001'!H12,'2002'!H12,'2003'!H12,'2004'!H12,'2005'!H12,'2006'!H12,'2007'!H12,'2008'!H12,'2009'!H12,'2010'!H12,'2011'!H12,'2012'!H12,'2013'!H12,'2014'!H12,'2015'!H12,'2016'!H12,'2017'!H12,'2018'!H12,'2019'!H12,'2020'!H12,'2021'!H12,'2022'!H12,'2023'!H12,'2024'!H12,'2025'!H12)</f>
        <v/>
      </c>
      <c r="I12" s="8">
        <f>AVERAGE('1991'!I12,'1992'!I12,'1993'!I12,'1994'!I12,'1995'!I12,'1996'!I12,'1997'!I12,'1998'!I12,'1999'!I12,'2000'!I12,'2001'!I12,'2002'!I12,'2003'!I12,'2004'!I12,'2005'!I12,'2006'!I12,'2007'!I12,'2008'!I12,'2009'!I12,'2010'!I12,'2011'!I12,'2012'!I12,'2013'!I12,'2014'!I12,'2015'!I12,'2016'!I12,'2017'!I12,'2018'!I12,'2019'!I12,'2020'!I12,'2021'!I12,'2022'!I12,'2023'!I12,'2024'!I12,'2025'!I12)</f>
        <v/>
      </c>
      <c r="J12" s="8">
        <f>AVERAGE('1991'!J12,'1992'!J12,'1993'!J12,'1994'!J12,'1995'!J12,'1996'!J12,'1997'!J12,'1998'!J12,'1999'!J12,'2000'!J12,'2001'!J12,'2002'!J12,'2003'!J12,'2004'!J12,'2005'!J12,'2006'!J12,'2007'!J12,'2008'!J12,'2009'!J12,'2010'!J12,'2011'!J12,'2012'!J12,'2013'!J12,'2014'!J12,'2015'!J12,'2016'!J12,'2017'!J12,'2018'!J12,'2019'!J12,'2020'!J12,'2021'!J12,'2022'!J12,'2023'!J12,'2024'!J12,'2025'!J12)</f>
        <v/>
      </c>
      <c r="K12" s="8">
        <f>AVERAGE('1991'!K12,'1992'!K12,'1993'!K12,'1994'!K12,'1995'!K12,'1996'!K12,'1997'!K12,'1998'!K12,'1999'!K12,'2000'!K12,'2001'!K12,'2002'!K12,'2003'!K12,'2004'!K12,'2005'!K12,'2006'!K12,'2007'!K12,'2008'!K12,'2009'!K12,'2010'!K12,'2011'!K12,'2012'!K12,'2013'!K12,'2014'!K12,'2015'!K12,'2016'!K12,'2017'!K12,'2018'!K12,'2019'!K12,'2020'!K12,'2021'!K12,'2022'!K12,'2023'!K12,'2024'!K12,'2025'!K12)</f>
        <v/>
      </c>
      <c r="L12" s="8">
        <f>AVERAGE('1991'!L12,'1992'!L12,'1993'!L12,'1994'!L12,'1995'!L12,'1996'!L12,'1997'!L12,'1998'!L12,'1999'!L12,'2000'!L12,'2001'!L12,'2002'!L12,'2003'!L12,'2004'!L12,'2005'!L12,'2006'!L12,'2007'!L12,'2008'!L12,'2009'!L12,'2010'!L12,'2011'!L12,'2012'!L12,'2013'!L12,'2014'!L12,'2015'!L12,'2016'!L12,'2017'!L12,'2018'!L12,'2019'!L12,'2020'!L12,'2021'!L12,'2022'!L12,'2023'!L12,'2024'!L12,'2025'!L12)</f>
        <v/>
      </c>
      <c r="M12" s="8">
        <f>AVERAGE('1991'!M12,'1992'!M12,'1993'!M12,'1994'!M12,'1995'!M12,'1996'!M12,'1997'!M12,'1998'!M12,'1999'!M12,'2000'!M12,'2001'!M12,'2002'!M12,'2003'!M12,'2004'!M12,'2005'!M12,'2006'!M12,'2007'!M12,'2008'!M12,'2009'!M12,'2010'!M12,'2011'!M12,'2012'!M12,'2013'!M12,'2014'!M12,'2015'!M12,'2016'!M12,'2017'!M12,'2018'!M12,'2019'!M12,'2020'!M12,'2021'!M12,'2022'!M12,'2023'!M12,'2024'!M12,'2025'!M12)</f>
        <v/>
      </c>
      <c r="N12" s="9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>
        <f>AVERAGE('1991'!B14,'1992'!B14,'1993'!B14,'1994'!B14,'1995'!B14,'1996'!B14,'1997'!B14,'1998'!B14,'1999'!B14,'2000'!B14,'2001'!B14,'2002'!B14,'2003'!B14,'2004'!B14,'2005'!B14,'2006'!B14,'2007'!B14,'2008'!B14,'2009'!B14,'2010'!B14,'2011'!B14,'2012'!B14,'2013'!B14,'2014'!B14,'2015'!B14,'2016'!B14,'2017'!B14,'2018'!B14,'2019'!B14,'2020'!B14,'2021'!B14,'2022'!B14,'2023'!B14,'2024'!B14,'2025'!B14)</f>
        <v/>
      </c>
      <c r="C14" s="8">
        <f>AVERAGE('1991'!C14,'1992'!C14,'1993'!C14,'1994'!C14,'1995'!C14,'1996'!C14,'1997'!C14,'1998'!C14,'1999'!C14,'2000'!C14,'2001'!C14,'2002'!C14,'2003'!C14,'2004'!C14,'2005'!C14,'2006'!C14,'2007'!C14,'2008'!C14,'2009'!C14,'2010'!C14,'2011'!C14,'2012'!C14,'2013'!C14,'2014'!C14,'2015'!C14,'2016'!C14,'2017'!C14,'2018'!C14,'2019'!C14,'2020'!C14,'2021'!C14,'2022'!C14,'2023'!C14,'2024'!C14,'2025'!C14)</f>
        <v/>
      </c>
      <c r="D14" s="8">
        <f>AVERAGE('1991'!D14,'1992'!D14,'1993'!D14,'1994'!D14,'1995'!D14,'1996'!D14,'1997'!D14,'1998'!D14,'1999'!D14,'2000'!D14,'2001'!D14,'2002'!D14,'2003'!D14,'2004'!D14,'2005'!D14,'2006'!D14,'2007'!D14,'2008'!D14,'2009'!D14,'2010'!D14,'2011'!D14,'2012'!D14,'2013'!D14,'2014'!D14,'2015'!D14,'2016'!D14,'2017'!D14,'2018'!D14,'2019'!D14,'2020'!D14,'2021'!D14,'2022'!D14,'2023'!D14,'2024'!D14,'2025'!D14)</f>
        <v/>
      </c>
      <c r="E14" s="8">
        <f>AVERAGE('1991'!E14,'1992'!E14,'1993'!E14,'1994'!E14,'1995'!E14,'1996'!E14,'1997'!E14,'1998'!E14,'1999'!E14,'2000'!E14,'2001'!E14,'2002'!E14,'2003'!E14,'2004'!E14,'2005'!E14,'2006'!E14,'2007'!E14,'2008'!E14,'2009'!E14,'2010'!E14,'2011'!E14,'2012'!E14,'2013'!E14,'2014'!E14,'2015'!E14,'2016'!E14,'2017'!E14,'2018'!E14,'2019'!E14,'2020'!E14,'2021'!E14,'2022'!E14,'2023'!E14,'2024'!E14,'2025'!E14)</f>
        <v/>
      </c>
      <c r="F14" s="8">
        <f>AVERAGE('1991'!F14,'1992'!F14,'1993'!F14,'1994'!F14,'1995'!F14,'1996'!F14,'1997'!F14,'1998'!F14,'1999'!F14,'2000'!F14,'2001'!F14,'2002'!F14,'2003'!F14,'2004'!F14,'2005'!F14,'2006'!F14,'2007'!F14,'2008'!F14,'2009'!F14,'2010'!F14,'2011'!F14,'2012'!F14,'2013'!F14,'2014'!F14,'2015'!F14,'2016'!F14,'2017'!F14,'2018'!F14,'2019'!F14,'2020'!F14,'2021'!F14,'2022'!F14,'2023'!F14,'2024'!F14,'2025'!F14)</f>
        <v/>
      </c>
      <c r="G14" s="8">
        <f>AVERAGE('1991'!G14,'1992'!G14,'1993'!G14,'1994'!G14,'1995'!G14,'1996'!G14,'1997'!G14,'1998'!G14,'1999'!G14,'2000'!G14,'2001'!G14,'2002'!G14,'2003'!G14,'2004'!G14,'2005'!G14,'2006'!G14,'2007'!G14,'2008'!G14,'2009'!G14,'2010'!G14,'2011'!G14,'2012'!G14,'2013'!G14,'2014'!G14,'2015'!G14,'2016'!G14,'2017'!G14,'2018'!G14,'2019'!G14,'2020'!G14,'2021'!G14,'2022'!G14,'2023'!G14,'2024'!G14,'2025'!G14)</f>
        <v/>
      </c>
      <c r="H14" s="8">
        <f>AVERAGE('1991'!H14,'1992'!H14,'1993'!H14,'1994'!H14,'1995'!H14,'1996'!H14,'1997'!H14,'1998'!H14,'1999'!H14,'2000'!H14,'2001'!H14,'2002'!H14,'2003'!H14,'2004'!H14,'2005'!H14,'2006'!H14,'2007'!H14,'2008'!H14,'2009'!H14,'2010'!H14,'2011'!H14,'2012'!H14,'2013'!H14,'2014'!H14,'2015'!H14,'2016'!H14,'2017'!H14,'2018'!H14,'2019'!H14,'2020'!H14,'2021'!H14,'2022'!H14,'2023'!H14,'2024'!H14,'2025'!H14)</f>
        <v/>
      </c>
      <c r="I14" s="8">
        <f>AVERAGE('1991'!I14,'1992'!I14,'1993'!I14,'1994'!I14,'1995'!I14,'1996'!I14,'1997'!I14,'1998'!I14,'1999'!I14,'2000'!I14,'2001'!I14,'2002'!I14,'2003'!I14,'2004'!I14,'2005'!I14,'2006'!I14,'2007'!I14,'2008'!I14,'2009'!I14,'2010'!I14,'2011'!I14,'2012'!I14,'2013'!I14,'2014'!I14,'2015'!I14,'2016'!I14,'2017'!I14,'2018'!I14,'2019'!I14,'2020'!I14,'2021'!I14,'2022'!I14,'2023'!I14,'2024'!I14,'2025'!I14)</f>
        <v/>
      </c>
      <c r="J14" s="8">
        <f>AVERAGE('1991'!J14,'1992'!J14,'1993'!J14,'1994'!J14,'1995'!J14,'1996'!J14,'1997'!J14,'1998'!J14,'1999'!J14,'2000'!J14,'2001'!J14,'2002'!J14,'2003'!J14,'2004'!J14,'2005'!J14,'2006'!J14,'2007'!J14,'2008'!J14,'2009'!J14,'2010'!J14,'2011'!J14,'2012'!J14,'2013'!J14,'2014'!J14,'2015'!J14,'2016'!J14,'2017'!J14,'2018'!J14,'2019'!J14,'2020'!J14,'2021'!J14,'2022'!J14,'2023'!J14,'2024'!J14,'2025'!J14)</f>
        <v/>
      </c>
      <c r="K14" s="8">
        <f>AVERAGE('1991'!K14,'1992'!K14,'1993'!K14,'1994'!K14,'1995'!K14,'1996'!K14,'1997'!K14,'1998'!K14,'1999'!K14,'2000'!K14,'2001'!K14,'2002'!K14,'2003'!K14,'2004'!K14,'2005'!K14,'2006'!K14,'2007'!K14,'2008'!K14,'2009'!K14,'2010'!K14,'2011'!K14,'2012'!K14,'2013'!K14,'2014'!K14,'2015'!K14,'2016'!K14,'2017'!K14,'2018'!K14,'2019'!K14,'2020'!K14,'2021'!K14,'2022'!K14,'2023'!K14,'2024'!K14,'2025'!K14)</f>
        <v/>
      </c>
      <c r="L14" s="8">
        <f>AVERAGE('1991'!L14,'1992'!L14,'1993'!L14,'1994'!L14,'1995'!L14,'1996'!L14,'1997'!L14,'1998'!L14,'1999'!L14,'2000'!L14,'2001'!L14,'2002'!L14,'2003'!L14,'2004'!L14,'2005'!L14,'2006'!L14,'2007'!L14,'2008'!L14,'2009'!L14,'2010'!L14,'2011'!L14,'2012'!L14,'2013'!L14,'2014'!L14,'2015'!L14,'2016'!L14,'2017'!L14,'2018'!L14,'2019'!L14,'2020'!L14,'2021'!L14,'2022'!L14,'2023'!L14,'2024'!L14,'2025'!L14)</f>
        <v/>
      </c>
      <c r="M14" s="8">
        <f>AVERAGE('1991'!M14,'1992'!M14,'1993'!M14,'1994'!M14,'1995'!M14,'1996'!M14,'1997'!M14,'1998'!M14,'1999'!M14,'2000'!M14,'2001'!M14,'2002'!M14,'2003'!M14,'2004'!M14,'2005'!M14,'2006'!M14,'2007'!M14,'2008'!M14,'2009'!M14,'2010'!M14,'2011'!M14,'2012'!M14,'2013'!M14,'2014'!M14,'2015'!M14,'2016'!M14,'2017'!M14,'2018'!M14,'2019'!M14,'2020'!M14,'2021'!M14,'2022'!M14,'2023'!M14,'2024'!M14,'2025'!M14)</f>
        <v/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>
        <f>AVERAGE('1991'!B16,'1992'!B16,'1993'!B16,'1994'!B16,'1995'!B16,'1996'!B16,'1997'!B16,'1998'!B16,'1999'!B16,'2000'!B16,'2001'!B16,'2002'!B16,'2003'!B16,'2004'!B16,'2005'!B16,'2006'!B16,'2007'!B16,'2008'!B16,'2009'!B16,'2010'!B16,'2011'!B16,'2012'!B16,'2013'!B16,'2014'!B16,'2015'!B16,'2016'!B16,'2017'!B16,'2018'!B16,'2019'!B16,'2020'!B16,'2021'!B16,'2022'!B16,'2023'!B16,'2024'!B16,'2025'!B16)</f>
        <v/>
      </c>
      <c r="C16" s="8">
        <f>AVERAGE('1991'!C16,'1992'!C16,'1993'!C16,'1994'!C16,'1995'!C16,'1996'!C16,'1997'!C16,'1998'!C16,'1999'!C16,'2000'!C16,'2001'!C16,'2002'!C16,'2003'!C16,'2004'!C16,'2005'!C16,'2006'!C16,'2007'!C16,'2008'!C16,'2009'!C16,'2010'!C16,'2011'!C16,'2012'!C16,'2013'!C16,'2014'!C16,'2015'!C16,'2016'!C16,'2017'!C16,'2018'!C16,'2019'!C16,'2020'!C16,'2021'!C16,'2022'!C16,'2023'!C16,'2024'!C16,'2025'!C16)</f>
        <v/>
      </c>
      <c r="D16" s="8">
        <f>AVERAGE('1991'!D16,'1992'!D16,'1993'!D16,'1994'!D16,'1995'!D16,'1996'!D16,'1997'!D16,'1998'!D16,'1999'!D16,'2000'!D16,'2001'!D16,'2002'!D16,'2003'!D16,'2004'!D16,'2005'!D16,'2006'!D16,'2007'!D16,'2008'!D16,'2009'!D16,'2010'!D16,'2011'!D16,'2012'!D16,'2013'!D16,'2014'!D16,'2015'!D16,'2016'!D16,'2017'!D16,'2018'!D16,'2019'!D16,'2020'!D16,'2021'!D16,'2022'!D16,'2023'!D16,'2024'!D16,'2025'!D16)</f>
        <v/>
      </c>
      <c r="E16" s="8">
        <f>AVERAGE('1991'!E16,'1992'!E16,'1993'!E16,'1994'!E16,'1995'!E16,'1996'!E16,'1997'!E16,'1998'!E16,'1999'!E16,'2000'!E16,'2001'!E16,'2002'!E16,'2003'!E16,'2004'!E16,'2005'!E16,'2006'!E16,'2007'!E16,'2008'!E16,'2009'!E16,'2010'!E16,'2011'!E16,'2012'!E16,'2013'!E16,'2014'!E16,'2015'!E16,'2016'!E16,'2017'!E16,'2018'!E16,'2019'!E16,'2020'!E16,'2021'!E16,'2022'!E16,'2023'!E16,'2024'!E16,'2025'!E16)</f>
        <v/>
      </c>
      <c r="F16" s="8">
        <f>AVERAGE('1991'!F16,'1992'!F16,'1993'!F16,'1994'!F16,'1995'!F16,'1996'!F16,'1997'!F16,'1998'!F16,'1999'!F16,'2000'!F16,'2001'!F16,'2002'!F16,'2003'!F16,'2004'!F16,'2005'!F16,'2006'!F16,'2007'!F16,'2008'!F16,'2009'!F16,'2010'!F16,'2011'!F16,'2012'!F16,'2013'!F16,'2014'!F16,'2015'!F16,'2016'!F16,'2017'!F16,'2018'!F16,'2019'!F16,'2020'!F16,'2021'!F16,'2022'!F16,'2023'!F16,'2024'!F16,'2025'!F16)</f>
        <v/>
      </c>
      <c r="G16" s="8">
        <f>AVERAGE('1991'!G16,'1992'!G16,'1993'!G16,'1994'!G16,'1995'!G16,'1996'!G16,'1997'!G16,'1998'!G16,'1999'!G16,'2000'!G16,'2001'!G16,'2002'!G16,'2003'!G16,'2004'!G16,'2005'!G16,'2006'!G16,'2007'!G16,'2008'!G16,'2009'!G16,'2010'!G16,'2011'!G16,'2012'!G16,'2013'!G16,'2014'!G16,'2015'!G16,'2016'!G16,'2017'!G16,'2018'!G16,'2019'!G16,'2020'!G16,'2021'!G16,'2022'!G16,'2023'!G16,'2024'!G16,'2025'!G16)</f>
        <v/>
      </c>
      <c r="H16" s="8">
        <f>AVERAGE('1991'!H16,'1992'!H16,'1993'!H16,'1994'!H16,'1995'!H16,'1996'!H16,'1997'!H16,'1998'!H16,'1999'!H16,'2000'!H16,'2001'!H16,'2002'!H16,'2003'!H16,'2004'!H16,'2005'!H16,'2006'!H16,'2007'!H16,'2008'!H16,'2009'!H16,'2010'!H16,'2011'!H16,'2012'!H16,'2013'!H16,'2014'!H16,'2015'!H16,'2016'!H16,'2017'!H16,'2018'!H16,'2019'!H16,'2020'!H16,'2021'!H16,'2022'!H16,'2023'!H16,'2024'!H16,'2025'!H16)</f>
        <v/>
      </c>
      <c r="I16" s="8">
        <f>AVERAGE('1991'!I16,'1992'!I16,'1993'!I16,'1994'!I16,'1995'!I16,'1996'!I16,'1997'!I16,'1998'!I16,'1999'!I16,'2000'!I16,'2001'!I16,'2002'!I16,'2003'!I16,'2004'!I16,'2005'!I16,'2006'!I16,'2007'!I16,'2008'!I16,'2009'!I16,'2010'!I16,'2011'!I16,'2012'!I16,'2013'!I16,'2014'!I16,'2015'!I16,'2016'!I16,'2017'!I16,'2018'!I16,'2019'!I16,'2020'!I16,'2021'!I16,'2022'!I16,'2023'!I16,'2024'!I16,'2025'!I16)</f>
        <v/>
      </c>
      <c r="J16" s="8">
        <f>AVERAGE('1991'!J16,'1992'!J16,'1993'!J16,'1994'!J16,'1995'!J16,'1996'!J16,'1997'!J16,'1998'!J16,'1999'!J16,'2000'!J16,'2001'!J16,'2002'!J16,'2003'!J16,'2004'!J16,'2005'!J16,'2006'!J16,'2007'!J16,'2008'!J16,'2009'!J16,'2010'!J16,'2011'!J16,'2012'!J16,'2013'!J16,'2014'!J16,'2015'!J16,'2016'!J16,'2017'!J16,'2018'!J16,'2019'!J16,'2020'!J16,'2021'!J16,'2022'!J16,'2023'!J16,'2024'!J16,'2025'!J16)</f>
        <v/>
      </c>
      <c r="K16" s="8">
        <f>AVERAGE('1991'!K16,'1992'!K16,'1993'!K16,'1994'!K16,'1995'!K16,'1996'!K16,'1997'!K16,'1998'!K16,'1999'!K16,'2000'!K16,'2001'!K16,'2002'!K16,'2003'!K16,'2004'!K16,'2005'!K16,'2006'!K16,'2007'!K16,'2008'!K16,'2009'!K16,'2010'!K16,'2011'!K16,'2012'!K16,'2013'!K16,'2014'!K16,'2015'!K16,'2016'!K16,'2017'!K16,'2018'!K16,'2019'!K16,'2020'!K16,'2021'!K16,'2022'!K16,'2023'!K16,'2024'!K16,'2025'!K16)</f>
        <v/>
      </c>
      <c r="L16" s="8">
        <f>AVERAGE('1991'!L16,'1992'!L16,'1993'!L16,'1994'!L16,'1995'!L16,'1996'!L16,'1997'!L16,'1998'!L16,'1999'!L16,'2000'!L16,'2001'!L16,'2002'!L16,'2003'!L16,'2004'!L16,'2005'!L16,'2006'!L16,'2007'!L16,'2008'!L16,'2009'!L16,'2010'!L16,'2011'!L16,'2012'!L16,'2013'!L16,'2014'!L16,'2015'!L16,'2016'!L16,'2017'!L16,'2018'!L16,'2019'!L16,'2020'!L16,'2021'!L16,'2022'!L16,'2023'!L16,'2024'!L16,'2025'!L16)</f>
        <v/>
      </c>
      <c r="M16" s="8">
        <f>AVERAGE('1991'!M16,'1992'!M16,'1993'!M16,'1994'!M16,'1995'!M16,'1996'!M16,'1997'!M16,'1998'!M16,'1999'!M16,'2000'!M16,'2001'!M16,'2002'!M16,'2003'!M16,'2004'!M16,'2005'!M16,'2006'!M16,'2007'!M16,'2008'!M16,'2009'!M16,'2010'!M16,'2011'!M16,'2012'!M16,'2013'!M16,'2014'!M16,'2015'!M16,'2016'!M16,'2017'!M16,'2018'!M16,'2019'!M16,'2020'!M16,'2021'!M16,'2022'!M16,'2023'!M16,'2024'!M16,'2025'!M16)</f>
        <v/>
      </c>
      <c r="N16" s="9">
        <f>SUM(B16:M16)</f>
        <v/>
      </c>
    </row>
    <row r="17">
      <c r="A17" s="7" t="inlineStr">
        <is>
          <t>Broj vedrih dana</t>
        </is>
      </c>
      <c r="B17" s="8">
        <f>AVERAGE('1991'!B17,'1992'!B17,'1993'!B17,'1994'!B17,'1995'!B17,'1996'!B17,'1997'!B17,'1998'!B17,'1999'!B17,'2000'!B17,'2001'!B17,'2002'!B17,'2003'!B17,'2004'!B17,'2005'!B17,'2006'!B17,'2007'!B17,'2008'!B17,'2009'!B17,'2010'!B17,'2011'!B17,'2012'!B17,'2013'!B17,'2014'!B17,'2015'!B17,'2016'!B17,'2017'!B17,'2018'!B17,'2019'!B17,'2020'!B17,'2021'!B17,'2022'!B17,'2023'!B17,'2024'!B17,'2025'!B17)</f>
        <v/>
      </c>
      <c r="C17" s="8">
        <f>AVERAGE('1991'!C17,'1992'!C17,'1993'!C17,'1994'!C17,'1995'!C17,'1996'!C17,'1997'!C17,'1998'!C17,'1999'!C17,'2000'!C17,'2001'!C17,'2002'!C17,'2003'!C17,'2004'!C17,'2005'!C17,'2006'!C17,'2007'!C17,'2008'!C17,'2009'!C17,'2010'!C17,'2011'!C17,'2012'!C17,'2013'!C17,'2014'!C17,'2015'!C17,'2016'!C17,'2017'!C17,'2018'!C17,'2019'!C17,'2020'!C17,'2021'!C17,'2022'!C17,'2023'!C17,'2024'!C17,'2025'!C17)</f>
        <v/>
      </c>
      <c r="D17" s="8">
        <f>AVERAGE('1991'!D17,'1992'!D17,'1993'!D17,'1994'!D17,'1995'!D17,'1996'!D17,'1997'!D17,'1998'!D17,'1999'!D17,'2000'!D17,'2001'!D17,'2002'!D17,'2003'!D17,'2004'!D17,'2005'!D17,'2006'!D17,'2007'!D17,'2008'!D17,'2009'!D17,'2010'!D17,'2011'!D17,'2012'!D17,'2013'!D17,'2014'!D17,'2015'!D17,'2016'!D17,'2017'!D17,'2018'!D17,'2019'!D17,'2020'!D17,'2021'!D17,'2022'!D17,'2023'!D17,'2024'!D17,'2025'!D17)</f>
        <v/>
      </c>
      <c r="E17" s="8">
        <f>AVERAGE('1991'!E17,'1992'!E17,'1993'!E17,'1994'!E17,'1995'!E17,'1996'!E17,'1997'!E17,'1998'!E17,'1999'!E17,'2000'!E17,'2001'!E17,'2002'!E17,'2003'!E17,'2004'!E17,'2005'!E17,'2006'!E17,'2007'!E17,'2008'!E17,'2009'!E17,'2010'!E17,'2011'!E17,'2012'!E17,'2013'!E17,'2014'!E17,'2015'!E17,'2016'!E17,'2017'!E17,'2018'!E17,'2019'!E17,'2020'!E17,'2021'!E17,'2022'!E17,'2023'!E17,'2024'!E17,'2025'!E17)</f>
        <v/>
      </c>
      <c r="F17" s="8">
        <f>AVERAGE('1991'!F17,'1992'!F17,'1993'!F17,'1994'!F17,'1995'!F17,'1996'!F17,'1997'!F17,'1998'!F17,'1999'!F17,'2000'!F17,'2001'!F17,'2002'!F17,'2003'!F17,'2004'!F17,'2005'!F17,'2006'!F17,'2007'!F17,'2008'!F17,'2009'!F17,'2010'!F17,'2011'!F17,'2012'!F17,'2013'!F17,'2014'!F17,'2015'!F17,'2016'!F17,'2017'!F17,'2018'!F17,'2019'!F17,'2020'!F17,'2021'!F17,'2022'!F17,'2023'!F17,'2024'!F17,'2025'!F17)</f>
        <v/>
      </c>
      <c r="G17" s="8">
        <f>AVERAGE('1991'!G17,'1992'!G17,'1993'!G17,'1994'!G17,'1995'!G17,'1996'!G17,'1997'!G17,'1998'!G17,'1999'!G17,'2000'!G17,'2001'!G17,'2002'!G17,'2003'!G17,'2004'!G17,'2005'!G17,'2006'!G17,'2007'!G17,'2008'!G17,'2009'!G17,'2010'!G17,'2011'!G17,'2012'!G17,'2013'!G17,'2014'!G17,'2015'!G17,'2016'!G17,'2017'!G17,'2018'!G17,'2019'!G17,'2020'!G17,'2021'!G17,'2022'!G17,'2023'!G17,'2024'!G17,'2025'!G17)</f>
        <v/>
      </c>
      <c r="H17" s="8">
        <f>AVERAGE('1991'!H17,'1992'!H17,'1993'!H17,'1994'!H17,'1995'!H17,'1996'!H17,'1997'!H17,'1998'!H17,'1999'!H17,'2000'!H17,'2001'!H17,'2002'!H17,'2003'!H17,'2004'!H17,'2005'!H17,'2006'!H17,'2007'!H17,'2008'!H17,'2009'!H17,'2010'!H17,'2011'!H17,'2012'!H17,'2013'!H17,'2014'!H17,'2015'!H17,'2016'!H17,'2017'!H17,'2018'!H17,'2019'!H17,'2020'!H17,'2021'!H17,'2022'!H17,'2023'!H17,'2024'!H17,'2025'!H17)</f>
        <v/>
      </c>
      <c r="I17" s="8">
        <f>AVERAGE('1991'!I17,'1992'!I17,'1993'!I17,'1994'!I17,'1995'!I17,'1996'!I17,'1997'!I17,'1998'!I17,'1999'!I17,'2000'!I17,'2001'!I17,'2002'!I17,'2003'!I17,'2004'!I17,'2005'!I17,'2006'!I17,'2007'!I17,'2008'!I17,'2009'!I17,'2010'!I17,'2011'!I17,'2012'!I17,'2013'!I17,'2014'!I17,'2015'!I17,'2016'!I17,'2017'!I17,'2018'!I17,'2019'!I17,'2020'!I17,'2021'!I17,'2022'!I17,'2023'!I17,'2024'!I17,'2025'!I17)</f>
        <v/>
      </c>
      <c r="J17" s="8">
        <f>AVERAGE('1991'!J17,'1992'!J17,'1993'!J17,'1994'!J17,'1995'!J17,'1996'!J17,'1997'!J17,'1998'!J17,'1999'!J17,'2000'!J17,'2001'!J17,'2002'!J17,'2003'!J17,'2004'!J17,'2005'!J17,'2006'!J17,'2007'!J17,'2008'!J17,'2009'!J17,'2010'!J17,'2011'!J17,'2012'!J17,'2013'!J17,'2014'!J17,'2015'!J17,'2016'!J17,'2017'!J17,'2018'!J17,'2019'!J17,'2020'!J17,'2021'!J17,'2022'!J17,'2023'!J17,'2024'!J17,'2025'!J17)</f>
        <v/>
      </c>
      <c r="K17" s="8">
        <f>AVERAGE('1991'!K17,'1992'!K17,'1993'!K17,'1994'!K17,'1995'!K17,'1996'!K17,'1997'!K17,'1998'!K17,'1999'!K17,'2000'!K17,'2001'!K17,'2002'!K17,'2003'!K17,'2004'!K17,'2005'!K17,'2006'!K17,'2007'!K17,'2008'!K17,'2009'!K17,'2010'!K17,'2011'!K17,'2012'!K17,'2013'!K17,'2014'!K17,'2015'!K17,'2016'!K17,'2017'!K17,'2018'!K17,'2019'!K17,'2020'!K17,'2021'!K17,'2022'!K17,'2023'!K17,'2024'!K17,'2025'!K17)</f>
        <v/>
      </c>
      <c r="L17" s="8">
        <f>AVERAGE('1991'!L17,'1992'!L17,'1993'!L17,'1994'!L17,'1995'!L17,'1996'!L17,'1997'!L17,'1998'!L17,'1999'!L17,'2000'!L17,'2001'!L17,'2002'!L17,'2003'!L17,'2004'!L17,'2005'!L17,'2006'!L17,'2007'!L17,'2008'!L17,'2009'!L17,'2010'!L17,'2011'!L17,'2012'!L17,'2013'!L17,'2014'!L17,'2015'!L17,'2016'!L17,'2017'!L17,'2018'!L17,'2019'!L17,'2020'!L17,'2021'!L17,'2022'!L17,'2023'!L17,'2024'!L17,'2025'!L17)</f>
        <v/>
      </c>
      <c r="M17" s="8">
        <f>AVERAGE('1991'!M17,'1992'!M17,'1993'!M17,'1994'!M17,'1995'!M17,'1996'!M17,'1997'!M17,'1998'!M17,'1999'!M17,'2000'!M17,'2001'!M17,'2002'!M17,'2003'!M17,'2004'!M17,'2005'!M17,'2006'!M17,'2007'!M17,'2008'!M17,'2009'!M17,'2010'!M17,'2011'!M17,'2012'!M17,'2013'!M17,'2014'!M17,'2015'!M17,'2016'!M17,'2017'!M17,'2018'!M17,'2019'!M17,'2020'!M17,'2021'!M17,'2022'!M17,'2023'!M17,'2024'!M17,'2025'!M17)</f>
        <v/>
      </c>
      <c r="N17" s="9">
        <f>SUM(B17:M17)</f>
        <v/>
      </c>
    </row>
    <row r="18">
      <c r="A18" s="7" t="inlineStr">
        <is>
          <t>Broj oblačnih dana</t>
        </is>
      </c>
      <c r="B18" s="8">
        <f>AVERAGE('1991'!B18,'1992'!B18,'1993'!B18,'1994'!B18,'1995'!B18,'1996'!B18,'1997'!B18,'1998'!B18,'1999'!B18,'2000'!B18,'2001'!B18,'2002'!B18,'2003'!B18,'2004'!B18,'2005'!B18,'2006'!B18,'2007'!B18,'2008'!B18,'2009'!B18,'2010'!B18,'2011'!B18,'2012'!B18,'2013'!B18,'2014'!B18,'2015'!B18,'2016'!B18,'2017'!B18,'2018'!B18,'2019'!B18,'2020'!B18,'2021'!B18,'2022'!B18,'2023'!B18,'2024'!B18,'2025'!B18)</f>
        <v/>
      </c>
      <c r="C18" s="8">
        <f>AVERAGE('1991'!C18,'1992'!C18,'1993'!C18,'1994'!C18,'1995'!C18,'1996'!C18,'1997'!C18,'1998'!C18,'1999'!C18,'2000'!C18,'2001'!C18,'2002'!C18,'2003'!C18,'2004'!C18,'2005'!C18,'2006'!C18,'2007'!C18,'2008'!C18,'2009'!C18,'2010'!C18,'2011'!C18,'2012'!C18,'2013'!C18,'2014'!C18,'2015'!C18,'2016'!C18,'2017'!C18,'2018'!C18,'2019'!C18,'2020'!C18,'2021'!C18,'2022'!C18,'2023'!C18,'2024'!C18,'2025'!C18)</f>
        <v/>
      </c>
      <c r="D18" s="8">
        <f>AVERAGE('1991'!D18,'1992'!D18,'1993'!D18,'1994'!D18,'1995'!D18,'1996'!D18,'1997'!D18,'1998'!D18,'1999'!D18,'2000'!D18,'2001'!D18,'2002'!D18,'2003'!D18,'2004'!D18,'2005'!D18,'2006'!D18,'2007'!D18,'2008'!D18,'2009'!D18,'2010'!D18,'2011'!D18,'2012'!D18,'2013'!D18,'2014'!D18,'2015'!D18,'2016'!D18,'2017'!D18,'2018'!D18,'2019'!D18,'2020'!D18,'2021'!D18,'2022'!D18,'2023'!D18,'2024'!D18,'2025'!D18)</f>
        <v/>
      </c>
      <c r="E18" s="8">
        <f>AVERAGE('1991'!E18,'1992'!E18,'1993'!E18,'1994'!E18,'1995'!E18,'1996'!E18,'1997'!E18,'1998'!E18,'1999'!E18,'2000'!E18,'2001'!E18,'2002'!E18,'2003'!E18,'2004'!E18,'2005'!E18,'2006'!E18,'2007'!E18,'2008'!E18,'2009'!E18,'2010'!E18,'2011'!E18,'2012'!E18,'2013'!E18,'2014'!E18,'2015'!E18,'2016'!E18,'2017'!E18,'2018'!E18,'2019'!E18,'2020'!E18,'2021'!E18,'2022'!E18,'2023'!E18,'2024'!E18,'2025'!E18)</f>
        <v/>
      </c>
      <c r="F18" s="8">
        <f>AVERAGE('1991'!F18,'1992'!F18,'1993'!F18,'1994'!F18,'1995'!F18,'1996'!F18,'1997'!F18,'1998'!F18,'1999'!F18,'2000'!F18,'2001'!F18,'2002'!F18,'2003'!F18,'2004'!F18,'2005'!F18,'2006'!F18,'2007'!F18,'2008'!F18,'2009'!F18,'2010'!F18,'2011'!F18,'2012'!F18,'2013'!F18,'2014'!F18,'2015'!F18,'2016'!F18,'2017'!F18,'2018'!F18,'2019'!F18,'2020'!F18,'2021'!F18,'2022'!F18,'2023'!F18,'2024'!F18,'2025'!F18)</f>
        <v/>
      </c>
      <c r="G18" s="8">
        <f>AVERAGE('1991'!G18,'1992'!G18,'1993'!G18,'1994'!G18,'1995'!G18,'1996'!G18,'1997'!G18,'1998'!G18,'1999'!G18,'2000'!G18,'2001'!G18,'2002'!G18,'2003'!G18,'2004'!G18,'2005'!G18,'2006'!G18,'2007'!G18,'2008'!G18,'2009'!G18,'2010'!G18,'2011'!G18,'2012'!G18,'2013'!G18,'2014'!G18,'2015'!G18,'2016'!G18,'2017'!G18,'2018'!G18,'2019'!G18,'2020'!G18,'2021'!G18,'2022'!G18,'2023'!G18,'2024'!G18,'2025'!G18)</f>
        <v/>
      </c>
      <c r="H18" s="8">
        <f>AVERAGE('1991'!H18,'1992'!H18,'1993'!H18,'1994'!H18,'1995'!H18,'1996'!H18,'1997'!H18,'1998'!H18,'1999'!H18,'2000'!H18,'2001'!H18,'2002'!H18,'2003'!H18,'2004'!H18,'2005'!H18,'2006'!H18,'2007'!H18,'2008'!H18,'2009'!H18,'2010'!H18,'2011'!H18,'2012'!H18,'2013'!H18,'2014'!H18,'2015'!H18,'2016'!H18,'2017'!H18,'2018'!H18,'2019'!H18,'2020'!H18,'2021'!H18,'2022'!H18,'2023'!H18,'2024'!H18,'2025'!H18)</f>
        <v/>
      </c>
      <c r="I18" s="8">
        <f>AVERAGE('1991'!I18,'1992'!I18,'1993'!I18,'1994'!I18,'1995'!I18,'1996'!I18,'1997'!I18,'1998'!I18,'1999'!I18,'2000'!I18,'2001'!I18,'2002'!I18,'2003'!I18,'2004'!I18,'2005'!I18,'2006'!I18,'2007'!I18,'2008'!I18,'2009'!I18,'2010'!I18,'2011'!I18,'2012'!I18,'2013'!I18,'2014'!I18,'2015'!I18,'2016'!I18,'2017'!I18,'2018'!I18,'2019'!I18,'2020'!I18,'2021'!I18,'2022'!I18,'2023'!I18,'2024'!I18,'2025'!I18)</f>
        <v/>
      </c>
      <c r="J18" s="8">
        <f>AVERAGE('1991'!J18,'1992'!J18,'1993'!J18,'1994'!J18,'1995'!J18,'1996'!J18,'1997'!J18,'1998'!J18,'1999'!J18,'2000'!J18,'2001'!J18,'2002'!J18,'2003'!J18,'2004'!J18,'2005'!J18,'2006'!J18,'2007'!J18,'2008'!J18,'2009'!J18,'2010'!J18,'2011'!J18,'2012'!J18,'2013'!J18,'2014'!J18,'2015'!J18,'2016'!J18,'2017'!J18,'2018'!J18,'2019'!J18,'2020'!J18,'2021'!J18,'2022'!J18,'2023'!J18,'2024'!J18,'2025'!J18)</f>
        <v/>
      </c>
      <c r="K18" s="8">
        <f>AVERAGE('1991'!K18,'1992'!K18,'1993'!K18,'1994'!K18,'1995'!K18,'1996'!K18,'1997'!K18,'1998'!K18,'1999'!K18,'2000'!K18,'2001'!K18,'2002'!K18,'2003'!K18,'2004'!K18,'2005'!K18,'2006'!K18,'2007'!K18,'2008'!K18,'2009'!K18,'2010'!K18,'2011'!K18,'2012'!K18,'2013'!K18,'2014'!K18,'2015'!K18,'2016'!K18,'2017'!K18,'2018'!K18,'2019'!K18,'2020'!K18,'2021'!K18,'2022'!K18,'2023'!K18,'2024'!K18,'2025'!K18)</f>
        <v/>
      </c>
      <c r="L18" s="8">
        <f>AVERAGE('1991'!L18,'1992'!L18,'1993'!L18,'1994'!L18,'1995'!L18,'1996'!L18,'1997'!L18,'1998'!L18,'1999'!L18,'2000'!L18,'2001'!L18,'2002'!L18,'2003'!L18,'2004'!L18,'2005'!L18,'2006'!L18,'2007'!L18,'2008'!L18,'2009'!L18,'2010'!L18,'2011'!L18,'2012'!L18,'2013'!L18,'2014'!L18,'2015'!L18,'2016'!L18,'2017'!L18,'2018'!L18,'2019'!L18,'2020'!L18,'2021'!L18,'2022'!L18,'2023'!L18,'2024'!L18,'2025'!L18)</f>
        <v/>
      </c>
      <c r="M18" s="8">
        <f>AVERAGE('1991'!M18,'1992'!M18,'1993'!M18,'1994'!M18,'1995'!M18,'1996'!M18,'1997'!M18,'1998'!M18,'1999'!M18,'2000'!M18,'2001'!M18,'2002'!M18,'2003'!M18,'2004'!M18,'2005'!M18,'2006'!M18,'2007'!M18,'2008'!M18,'2009'!M18,'2010'!M18,'2011'!M18,'2012'!M18,'2013'!M18,'2014'!M18,'2015'!M18,'2016'!M18,'2017'!M18,'2018'!M18,'2019'!M18,'2020'!M18,'2021'!M18,'2022'!M18,'2023'!M18,'2024'!M18,'2025'!M18)</f>
        <v/>
      </c>
      <c r="N18" s="9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>
        <f>AVERAGE('1991'!B20,'1992'!B20,'1993'!B20,'1994'!B20,'1995'!B20,'1996'!B20,'1997'!B20,'1998'!B20,'1999'!B20,'2000'!B20,'2001'!B20,'2002'!B20,'2003'!B20,'2004'!B20,'2005'!B20,'2006'!B20,'2007'!B20,'2008'!B20,'2009'!B20,'2010'!B20,'2011'!B20,'2012'!B20,'2013'!B20,'2014'!B20,'2015'!B20,'2016'!B20,'2017'!B20,'2018'!B20,'2019'!B20,'2020'!B20,'2021'!B20,'2022'!B20,'2023'!B20,'2024'!B20,'2025'!B20)</f>
        <v/>
      </c>
      <c r="C20" s="8">
        <f>AVERAGE('1991'!C20,'1992'!C20,'1993'!C20,'1994'!C20,'1995'!C20,'1996'!C20,'1997'!C20,'1998'!C20,'1999'!C20,'2000'!C20,'2001'!C20,'2002'!C20,'2003'!C20,'2004'!C20,'2005'!C20,'2006'!C20,'2007'!C20,'2008'!C20,'2009'!C20,'2010'!C20,'2011'!C20,'2012'!C20,'2013'!C20,'2014'!C20,'2015'!C20,'2016'!C20,'2017'!C20,'2018'!C20,'2019'!C20,'2020'!C20,'2021'!C20,'2022'!C20,'2023'!C20,'2024'!C20,'2025'!C20)</f>
        <v/>
      </c>
      <c r="D20" s="8">
        <f>AVERAGE('1991'!D20,'1992'!D20,'1993'!D20,'1994'!D20,'1995'!D20,'1996'!D20,'1997'!D20,'1998'!D20,'1999'!D20,'2000'!D20,'2001'!D20,'2002'!D20,'2003'!D20,'2004'!D20,'2005'!D20,'2006'!D20,'2007'!D20,'2008'!D20,'2009'!D20,'2010'!D20,'2011'!D20,'2012'!D20,'2013'!D20,'2014'!D20,'2015'!D20,'2016'!D20,'2017'!D20,'2018'!D20,'2019'!D20,'2020'!D20,'2021'!D20,'2022'!D20,'2023'!D20,'2024'!D20,'2025'!D20)</f>
        <v/>
      </c>
      <c r="E20" s="8">
        <f>AVERAGE('1991'!E20,'1992'!E20,'1993'!E20,'1994'!E20,'1995'!E20,'1996'!E20,'1997'!E20,'1998'!E20,'1999'!E20,'2000'!E20,'2001'!E20,'2002'!E20,'2003'!E20,'2004'!E20,'2005'!E20,'2006'!E20,'2007'!E20,'2008'!E20,'2009'!E20,'2010'!E20,'2011'!E20,'2012'!E20,'2013'!E20,'2014'!E20,'2015'!E20,'2016'!E20,'2017'!E20,'2018'!E20,'2019'!E20,'2020'!E20,'2021'!E20,'2022'!E20,'2023'!E20,'2024'!E20,'2025'!E20)</f>
        <v/>
      </c>
      <c r="F20" s="8">
        <f>AVERAGE('1991'!F20,'1992'!F20,'1993'!F20,'1994'!F20,'1995'!F20,'1996'!F20,'1997'!F20,'1998'!F20,'1999'!F20,'2000'!F20,'2001'!F20,'2002'!F20,'2003'!F20,'2004'!F20,'2005'!F20,'2006'!F20,'2007'!F20,'2008'!F20,'2009'!F20,'2010'!F20,'2011'!F20,'2012'!F20,'2013'!F20,'2014'!F20,'2015'!F20,'2016'!F20,'2017'!F20,'2018'!F20,'2019'!F20,'2020'!F20,'2021'!F20,'2022'!F20,'2023'!F20,'2024'!F20,'2025'!F20)</f>
        <v/>
      </c>
      <c r="G20" s="8">
        <f>AVERAGE('1991'!G20,'1992'!G20,'1993'!G20,'1994'!G20,'1995'!G20,'1996'!G20,'1997'!G20,'1998'!G20,'1999'!G20,'2000'!G20,'2001'!G20,'2002'!G20,'2003'!G20,'2004'!G20,'2005'!G20,'2006'!G20,'2007'!G20,'2008'!G20,'2009'!G20,'2010'!G20,'2011'!G20,'2012'!G20,'2013'!G20,'2014'!G20,'2015'!G20,'2016'!G20,'2017'!G20,'2018'!G20,'2019'!G20,'2020'!G20,'2021'!G20,'2022'!G20,'2023'!G20,'2024'!G20,'2025'!G20)</f>
        <v/>
      </c>
      <c r="H20" s="8">
        <f>AVERAGE('1991'!H20,'1992'!H20,'1993'!H20,'1994'!H20,'1995'!H20,'1996'!H20,'1997'!H20,'1998'!H20,'1999'!H20,'2000'!H20,'2001'!H20,'2002'!H20,'2003'!H20,'2004'!H20,'2005'!H20,'2006'!H20,'2007'!H20,'2008'!H20,'2009'!H20,'2010'!H20,'2011'!H20,'2012'!H20,'2013'!H20,'2014'!H20,'2015'!H20,'2016'!H20,'2017'!H20,'2018'!H20,'2019'!H20,'2020'!H20,'2021'!H20,'2022'!H20,'2023'!H20,'2024'!H20,'2025'!H20)</f>
        <v/>
      </c>
      <c r="I20" s="8">
        <f>AVERAGE('1991'!I20,'1992'!I20,'1993'!I20,'1994'!I20,'1995'!I20,'1996'!I20,'1997'!I20,'1998'!I20,'1999'!I20,'2000'!I20,'2001'!I20,'2002'!I20,'2003'!I20,'2004'!I20,'2005'!I20,'2006'!I20,'2007'!I20,'2008'!I20,'2009'!I20,'2010'!I20,'2011'!I20,'2012'!I20,'2013'!I20,'2014'!I20,'2015'!I20,'2016'!I20,'2017'!I20,'2018'!I20,'2019'!I20,'2020'!I20,'2021'!I20,'2022'!I20,'2023'!I20,'2024'!I20,'2025'!I20)</f>
        <v/>
      </c>
      <c r="J20" s="8">
        <f>AVERAGE('1991'!J20,'1992'!J20,'1993'!J20,'1994'!J20,'1995'!J20,'1996'!J20,'1997'!J20,'1998'!J20,'1999'!J20,'2000'!J20,'2001'!J20,'2002'!J20,'2003'!J20,'2004'!J20,'2005'!J20,'2006'!J20,'2007'!J20,'2008'!J20,'2009'!J20,'2010'!J20,'2011'!J20,'2012'!J20,'2013'!J20,'2014'!J20,'2015'!J20,'2016'!J20,'2017'!J20,'2018'!J20,'2019'!J20,'2020'!J20,'2021'!J20,'2022'!J20,'2023'!J20,'2024'!J20,'2025'!J20)</f>
        <v/>
      </c>
      <c r="K20" s="8">
        <f>AVERAGE('1991'!K20,'1992'!K20,'1993'!K20,'1994'!K20,'1995'!K20,'1996'!K20,'1997'!K20,'1998'!K20,'1999'!K20,'2000'!K20,'2001'!K20,'2002'!K20,'2003'!K20,'2004'!K20,'2005'!K20,'2006'!K20,'2007'!K20,'2008'!K20,'2009'!K20,'2010'!K20,'2011'!K20,'2012'!K20,'2013'!K20,'2014'!K20,'2015'!K20,'2016'!K20,'2017'!K20,'2018'!K20,'2019'!K20,'2020'!K20,'2021'!K20,'2022'!K20,'2023'!K20,'2024'!K20,'2025'!K20)</f>
        <v/>
      </c>
      <c r="L20" s="8">
        <f>AVERAGE('1991'!L20,'1992'!L20,'1993'!L20,'1994'!L20,'1995'!L20,'1996'!L20,'1997'!L20,'1998'!L20,'1999'!L20,'2000'!L20,'2001'!L20,'2002'!L20,'2003'!L20,'2004'!L20,'2005'!L20,'2006'!L20,'2007'!L20,'2008'!L20,'2009'!L20,'2010'!L20,'2011'!L20,'2012'!L20,'2013'!L20,'2014'!L20,'2015'!L20,'2016'!L20,'2017'!L20,'2018'!L20,'2019'!L20,'2020'!L20,'2021'!L20,'2022'!L20,'2023'!L20,'2024'!L20,'2025'!L20)</f>
        <v/>
      </c>
      <c r="M20" s="8">
        <f>AVERAGE('1991'!M20,'1992'!M20,'1993'!M20,'1994'!M20,'1995'!M20,'1996'!M20,'1997'!M20,'1998'!M20,'1999'!M20,'2000'!M20,'2001'!M20,'2002'!M20,'2003'!M20,'2004'!M20,'2005'!M20,'2006'!M20,'2007'!M20,'2008'!M20,'2009'!M20,'2010'!M20,'2011'!M20,'2012'!M20,'2013'!M20,'2014'!M20,'2015'!M20,'2016'!M20,'2017'!M20,'2018'!M20,'2019'!M20,'2020'!M20,'2021'!M20,'2022'!M20,'2023'!M20,'2024'!M20,'2025'!M20)</f>
        <v/>
      </c>
      <c r="N20" s="9">
        <f>SUM(B20:M20)</f>
        <v/>
      </c>
    </row>
    <row r="21">
      <c r="A21" s="7" t="inlineStr">
        <is>
          <t>Max. dnevna suma</t>
        </is>
      </c>
      <c r="B21" s="8">
        <f>AVERAGE('1991'!B21,'1992'!B21,'1993'!B21,'1994'!B21,'1995'!B21,'1996'!B21,'1997'!B21,'1998'!B21,'1999'!B21,'2000'!B21,'2001'!B21,'2002'!B21,'2003'!B21,'2004'!B21,'2005'!B21,'2006'!B21,'2007'!B21,'2008'!B21,'2009'!B21,'2010'!B21,'2011'!B21,'2012'!B21,'2013'!B21,'2014'!B21,'2015'!B21,'2016'!B21,'2017'!B21,'2018'!B21,'2019'!B21,'2020'!B21,'2021'!B21,'2022'!B21,'2023'!B21,'2024'!B21,'2025'!B21)</f>
        <v/>
      </c>
      <c r="C21" s="8">
        <f>AVERAGE('1991'!C21,'1992'!C21,'1993'!C21,'1994'!C21,'1995'!C21,'1996'!C21,'1997'!C21,'1998'!C21,'1999'!C21,'2000'!C21,'2001'!C21,'2002'!C21,'2003'!C21,'2004'!C21,'2005'!C21,'2006'!C21,'2007'!C21,'2008'!C21,'2009'!C21,'2010'!C21,'2011'!C21,'2012'!C21,'2013'!C21,'2014'!C21,'2015'!C21,'2016'!C21,'2017'!C21,'2018'!C21,'2019'!C21,'2020'!C21,'2021'!C21,'2022'!C21,'2023'!C21,'2024'!C21,'2025'!C21)</f>
        <v/>
      </c>
      <c r="D21" s="8">
        <f>AVERAGE('1991'!D21,'1992'!D21,'1993'!D21,'1994'!D21,'1995'!D21,'1996'!D21,'1997'!D21,'1998'!D21,'1999'!D21,'2000'!D21,'2001'!D21,'2002'!D21,'2003'!D21,'2004'!D21,'2005'!D21,'2006'!D21,'2007'!D21,'2008'!D21,'2009'!D21,'2010'!D21,'2011'!D21,'2012'!D21,'2013'!D21,'2014'!D21,'2015'!D21,'2016'!D21,'2017'!D21,'2018'!D21,'2019'!D21,'2020'!D21,'2021'!D21,'2022'!D21,'2023'!D21,'2024'!D21,'2025'!D21)</f>
        <v/>
      </c>
      <c r="E21" s="8">
        <f>AVERAGE('1991'!E21,'1992'!E21,'1993'!E21,'1994'!E21,'1995'!E21,'1996'!E21,'1997'!E21,'1998'!E21,'1999'!E21,'2000'!E21,'2001'!E21,'2002'!E21,'2003'!E21,'2004'!E21,'2005'!E21,'2006'!E21,'2007'!E21,'2008'!E21,'2009'!E21,'2010'!E21,'2011'!E21,'2012'!E21,'2013'!E21,'2014'!E21,'2015'!E21,'2016'!E21,'2017'!E21,'2018'!E21,'2019'!E21,'2020'!E21,'2021'!E21,'2022'!E21,'2023'!E21,'2024'!E21,'2025'!E21)</f>
        <v/>
      </c>
      <c r="F21" s="8">
        <f>AVERAGE('1991'!F21,'1992'!F21,'1993'!F21,'1994'!F21,'1995'!F21,'1996'!F21,'1997'!F21,'1998'!F21,'1999'!F21,'2000'!F21,'2001'!F21,'2002'!F21,'2003'!F21,'2004'!F21,'2005'!F21,'2006'!F21,'2007'!F21,'2008'!F21,'2009'!F21,'2010'!F21,'2011'!F21,'2012'!F21,'2013'!F21,'2014'!F21,'2015'!F21,'2016'!F21,'2017'!F21,'2018'!F21,'2019'!F21,'2020'!F21,'2021'!F21,'2022'!F21,'2023'!F21,'2024'!F21,'2025'!F21)</f>
        <v/>
      </c>
      <c r="G21" s="8">
        <f>AVERAGE('1991'!G21,'1992'!G21,'1993'!G21,'1994'!G21,'1995'!G21,'1996'!G21,'1997'!G21,'1998'!G21,'1999'!G21,'2000'!G21,'2001'!G21,'2002'!G21,'2003'!G21,'2004'!G21,'2005'!G21,'2006'!G21,'2007'!G21,'2008'!G21,'2009'!G21,'2010'!G21,'2011'!G21,'2012'!G21,'2013'!G21,'2014'!G21,'2015'!G21,'2016'!G21,'2017'!G21,'2018'!G21,'2019'!G21,'2020'!G21,'2021'!G21,'2022'!G21,'2023'!G21,'2024'!G21,'2025'!G21)</f>
        <v/>
      </c>
      <c r="H21" s="8">
        <f>AVERAGE('1991'!H21,'1992'!H21,'1993'!H21,'1994'!H21,'1995'!H21,'1996'!H21,'1997'!H21,'1998'!H21,'1999'!H21,'2000'!H21,'2001'!H21,'2002'!H21,'2003'!H21,'2004'!H21,'2005'!H21,'2006'!H21,'2007'!H21,'2008'!H21,'2009'!H21,'2010'!H21,'2011'!H21,'2012'!H21,'2013'!H21,'2014'!H21,'2015'!H21,'2016'!H21,'2017'!H21,'2018'!H21,'2019'!H21,'2020'!H21,'2021'!H21,'2022'!H21,'2023'!H21,'2024'!H21,'2025'!H21)</f>
        <v/>
      </c>
      <c r="I21" s="8">
        <f>AVERAGE('1991'!I21,'1992'!I21,'1993'!I21,'1994'!I21,'1995'!I21,'1996'!I21,'1997'!I21,'1998'!I21,'1999'!I21,'2000'!I21,'2001'!I21,'2002'!I21,'2003'!I21,'2004'!I21,'2005'!I21,'2006'!I21,'2007'!I21,'2008'!I21,'2009'!I21,'2010'!I21,'2011'!I21,'2012'!I21,'2013'!I21,'2014'!I21,'2015'!I21,'2016'!I21,'2017'!I21,'2018'!I21,'2019'!I21,'2020'!I21,'2021'!I21,'2022'!I21,'2023'!I21,'2024'!I21,'2025'!I21)</f>
        <v/>
      </c>
      <c r="J21" s="8">
        <f>AVERAGE('1991'!J21,'1992'!J21,'1993'!J21,'1994'!J21,'1995'!J21,'1996'!J21,'1997'!J21,'1998'!J21,'1999'!J21,'2000'!J21,'2001'!J21,'2002'!J21,'2003'!J21,'2004'!J21,'2005'!J21,'2006'!J21,'2007'!J21,'2008'!J21,'2009'!J21,'2010'!J21,'2011'!J21,'2012'!J21,'2013'!J21,'2014'!J21,'2015'!J21,'2016'!J21,'2017'!J21,'2018'!J21,'2019'!J21,'2020'!J21,'2021'!J21,'2022'!J21,'2023'!J21,'2024'!J21,'2025'!J21)</f>
        <v/>
      </c>
      <c r="K21" s="8">
        <f>AVERAGE('1991'!K21,'1992'!K21,'1993'!K21,'1994'!K21,'1995'!K21,'1996'!K21,'1997'!K21,'1998'!K21,'1999'!K21,'2000'!K21,'2001'!K21,'2002'!K21,'2003'!K21,'2004'!K21,'2005'!K21,'2006'!K21,'2007'!K21,'2008'!K21,'2009'!K21,'2010'!K21,'2011'!K21,'2012'!K21,'2013'!K21,'2014'!K21,'2015'!K21,'2016'!K21,'2017'!K21,'2018'!K21,'2019'!K21,'2020'!K21,'2021'!K21,'2022'!K21,'2023'!K21,'2024'!K21,'2025'!K21)</f>
        <v/>
      </c>
      <c r="L21" s="8">
        <f>AVERAGE('1991'!L21,'1992'!L21,'1993'!L21,'1994'!L21,'1995'!L21,'1996'!L21,'1997'!L21,'1998'!L21,'1999'!L21,'2000'!L21,'2001'!L21,'2002'!L21,'2003'!L21,'2004'!L21,'2005'!L21,'2006'!L21,'2007'!L21,'2008'!L21,'2009'!L21,'2010'!L21,'2011'!L21,'2012'!L21,'2013'!L21,'2014'!L21,'2015'!L21,'2016'!L21,'2017'!L21,'2018'!L21,'2019'!L21,'2020'!L21,'2021'!L21,'2022'!L21,'2023'!L21,'2024'!L21,'2025'!L21)</f>
        <v/>
      </c>
      <c r="M21" s="8">
        <f>AVERAGE('1991'!M21,'1992'!M21,'1993'!M21,'1994'!M21,'1995'!M21,'1996'!M21,'1997'!M21,'1998'!M21,'1999'!M21,'2000'!M21,'2001'!M21,'2002'!M21,'2003'!M21,'2004'!M21,'2005'!M21,'2006'!M21,'2007'!M21,'2008'!M21,'2009'!M21,'2010'!M21,'2011'!M21,'2012'!M21,'2013'!M21,'2014'!M21,'2015'!M21,'2016'!M21,'2017'!M21,'2018'!M21,'2019'!M21,'2020'!M21,'2021'!M21,'2022'!M21,'2023'!M21,'2024'!M21,'2025'!M21)</f>
        <v/>
      </c>
      <c r="N21" s="9">
        <f>MAX(B21:M21)</f>
        <v/>
      </c>
    </row>
    <row r="22">
      <c r="A22" s="7" t="inlineStr">
        <is>
          <t>Sr. br. dana &gt;= 0.1 mm</t>
        </is>
      </c>
      <c r="B22" s="8">
        <f>AVERAGE('1991'!B22,'1992'!B22,'1993'!B22,'1994'!B22,'1995'!B22,'1996'!B22,'1997'!B22,'1998'!B22,'1999'!B22,'2000'!B22,'2001'!B22,'2002'!B22,'2003'!B22,'2004'!B22,'2005'!B22,'2006'!B22,'2007'!B22,'2008'!B22,'2009'!B22,'2010'!B22,'2011'!B22,'2012'!B22,'2013'!B22,'2014'!B22,'2015'!B22,'2016'!B22,'2017'!B22,'2018'!B22,'2019'!B22,'2020'!B22,'2021'!B22,'2022'!B22,'2023'!B22,'2024'!B22,'2025'!B22)</f>
        <v/>
      </c>
      <c r="C22" s="8">
        <f>AVERAGE('1991'!C22,'1992'!C22,'1993'!C22,'1994'!C22,'1995'!C22,'1996'!C22,'1997'!C22,'1998'!C22,'1999'!C22,'2000'!C22,'2001'!C22,'2002'!C22,'2003'!C22,'2004'!C22,'2005'!C22,'2006'!C22,'2007'!C22,'2008'!C22,'2009'!C22,'2010'!C22,'2011'!C22,'2012'!C22,'2013'!C22,'2014'!C22,'2015'!C22,'2016'!C22,'2017'!C22,'2018'!C22,'2019'!C22,'2020'!C22,'2021'!C22,'2022'!C22,'2023'!C22,'2024'!C22,'2025'!C22)</f>
        <v/>
      </c>
      <c r="D22" s="8">
        <f>AVERAGE('1991'!D22,'1992'!D22,'1993'!D22,'1994'!D22,'1995'!D22,'1996'!D22,'1997'!D22,'1998'!D22,'1999'!D22,'2000'!D22,'2001'!D22,'2002'!D22,'2003'!D22,'2004'!D22,'2005'!D22,'2006'!D22,'2007'!D22,'2008'!D22,'2009'!D22,'2010'!D22,'2011'!D22,'2012'!D22,'2013'!D22,'2014'!D22,'2015'!D22,'2016'!D22,'2017'!D22,'2018'!D22,'2019'!D22,'2020'!D22,'2021'!D22,'2022'!D22,'2023'!D22,'2024'!D22,'2025'!D22)</f>
        <v/>
      </c>
      <c r="E22" s="8">
        <f>AVERAGE('1991'!E22,'1992'!E22,'1993'!E22,'1994'!E22,'1995'!E22,'1996'!E22,'1997'!E22,'1998'!E22,'1999'!E22,'2000'!E22,'2001'!E22,'2002'!E22,'2003'!E22,'2004'!E22,'2005'!E22,'2006'!E22,'2007'!E22,'2008'!E22,'2009'!E22,'2010'!E22,'2011'!E22,'2012'!E22,'2013'!E22,'2014'!E22,'2015'!E22,'2016'!E22,'2017'!E22,'2018'!E22,'2019'!E22,'2020'!E22,'2021'!E22,'2022'!E22,'2023'!E22,'2024'!E22,'2025'!E22)</f>
        <v/>
      </c>
      <c r="F22" s="8">
        <f>AVERAGE('1991'!F22,'1992'!F22,'1993'!F22,'1994'!F22,'1995'!F22,'1996'!F22,'1997'!F22,'1998'!F22,'1999'!F22,'2000'!F22,'2001'!F22,'2002'!F22,'2003'!F22,'2004'!F22,'2005'!F22,'2006'!F22,'2007'!F22,'2008'!F22,'2009'!F22,'2010'!F22,'2011'!F22,'2012'!F22,'2013'!F22,'2014'!F22,'2015'!F22,'2016'!F22,'2017'!F22,'2018'!F22,'2019'!F22,'2020'!F22,'2021'!F22,'2022'!F22,'2023'!F22,'2024'!F22,'2025'!F22)</f>
        <v/>
      </c>
      <c r="G22" s="8">
        <f>AVERAGE('1991'!G22,'1992'!G22,'1993'!G22,'1994'!G22,'1995'!G22,'1996'!G22,'1997'!G22,'1998'!G22,'1999'!G22,'2000'!G22,'2001'!G22,'2002'!G22,'2003'!G22,'2004'!G22,'2005'!G22,'2006'!G22,'2007'!G22,'2008'!G22,'2009'!G22,'2010'!G22,'2011'!G22,'2012'!G22,'2013'!G22,'2014'!G22,'2015'!G22,'2016'!G22,'2017'!G22,'2018'!G22,'2019'!G22,'2020'!G22,'2021'!G22,'2022'!G22,'2023'!G22,'2024'!G22,'2025'!G22)</f>
        <v/>
      </c>
      <c r="H22" s="8">
        <f>AVERAGE('1991'!H22,'1992'!H22,'1993'!H22,'1994'!H22,'1995'!H22,'1996'!H22,'1997'!H22,'1998'!H22,'1999'!H22,'2000'!H22,'2001'!H22,'2002'!H22,'2003'!H22,'2004'!H22,'2005'!H22,'2006'!H22,'2007'!H22,'2008'!H22,'2009'!H22,'2010'!H22,'2011'!H22,'2012'!H22,'2013'!H22,'2014'!H22,'2015'!H22,'2016'!H22,'2017'!H22,'2018'!H22,'2019'!H22,'2020'!H22,'2021'!H22,'2022'!H22,'2023'!H22,'2024'!H22,'2025'!H22)</f>
        <v/>
      </c>
      <c r="I22" s="8">
        <f>AVERAGE('1991'!I22,'1992'!I22,'1993'!I22,'1994'!I22,'1995'!I22,'1996'!I22,'1997'!I22,'1998'!I22,'1999'!I22,'2000'!I22,'2001'!I22,'2002'!I22,'2003'!I22,'2004'!I22,'2005'!I22,'2006'!I22,'2007'!I22,'2008'!I22,'2009'!I22,'2010'!I22,'2011'!I22,'2012'!I22,'2013'!I22,'2014'!I22,'2015'!I22,'2016'!I22,'2017'!I22,'2018'!I22,'2019'!I22,'2020'!I22,'2021'!I22,'2022'!I22,'2023'!I22,'2024'!I22,'2025'!I22)</f>
        <v/>
      </c>
      <c r="J22" s="8">
        <f>AVERAGE('1991'!J22,'1992'!J22,'1993'!J22,'1994'!J22,'1995'!J22,'1996'!J22,'1997'!J22,'1998'!J22,'1999'!J22,'2000'!J22,'2001'!J22,'2002'!J22,'2003'!J22,'2004'!J22,'2005'!J22,'2006'!J22,'2007'!J22,'2008'!J22,'2009'!J22,'2010'!J22,'2011'!J22,'2012'!J22,'2013'!J22,'2014'!J22,'2015'!J22,'2016'!J22,'2017'!J22,'2018'!J22,'2019'!J22,'2020'!J22,'2021'!J22,'2022'!J22,'2023'!J22,'2024'!J22,'2025'!J22)</f>
        <v/>
      </c>
      <c r="K22" s="8">
        <f>AVERAGE('1991'!K22,'1992'!K22,'1993'!K22,'1994'!K22,'1995'!K22,'1996'!K22,'1997'!K22,'1998'!K22,'1999'!K22,'2000'!K22,'2001'!K22,'2002'!K22,'2003'!K22,'2004'!K22,'2005'!K22,'2006'!K22,'2007'!K22,'2008'!K22,'2009'!K22,'2010'!K22,'2011'!K22,'2012'!K22,'2013'!K22,'2014'!K22,'2015'!K22,'2016'!K22,'2017'!K22,'2018'!K22,'2019'!K22,'2020'!K22,'2021'!K22,'2022'!K22,'2023'!K22,'2024'!K22,'2025'!K22)</f>
        <v/>
      </c>
      <c r="L22" s="8">
        <f>AVERAGE('1991'!L22,'1992'!L22,'1993'!L22,'1994'!L22,'1995'!L22,'1996'!L22,'1997'!L22,'1998'!L22,'1999'!L22,'2000'!L22,'2001'!L22,'2002'!L22,'2003'!L22,'2004'!L22,'2005'!L22,'2006'!L22,'2007'!L22,'2008'!L22,'2009'!L22,'2010'!L22,'2011'!L22,'2012'!L22,'2013'!L22,'2014'!L22,'2015'!L22,'2016'!L22,'2017'!L22,'2018'!L22,'2019'!L22,'2020'!L22,'2021'!L22,'2022'!L22,'2023'!L22,'2024'!L22,'2025'!L22)</f>
        <v/>
      </c>
      <c r="M22" s="8">
        <f>AVERAGE('1991'!M22,'1992'!M22,'1993'!M22,'1994'!M22,'1995'!M22,'1996'!M22,'1997'!M22,'1998'!M22,'1999'!M22,'2000'!M22,'2001'!M22,'2002'!M22,'2003'!M22,'2004'!M22,'2005'!M22,'2006'!M22,'2007'!M22,'2008'!M22,'2009'!M22,'2010'!M22,'2011'!M22,'2012'!M22,'2013'!M22,'2014'!M22,'2015'!M22,'2016'!M22,'2017'!M22,'2018'!M22,'2019'!M22,'2020'!M22,'2021'!M22,'2022'!M22,'2023'!M22,'2024'!M22,'2025'!M22)</f>
        <v/>
      </c>
      <c r="N22" s="9">
        <f>SUM(B22:M22)</f>
        <v/>
      </c>
    </row>
    <row r="23">
      <c r="A23" s="7" t="inlineStr">
        <is>
          <t>Sr. br. dana &gt;= 10.0 mm</t>
        </is>
      </c>
      <c r="B23" s="8">
        <f>AVERAGE('1991'!B23,'1992'!B23,'1993'!B23,'1994'!B23,'1995'!B23,'1996'!B23,'1997'!B23,'1998'!B23,'1999'!B23,'2000'!B23,'2001'!B23,'2002'!B23,'2003'!B23,'2004'!B23,'2005'!B23,'2006'!B23,'2007'!B23,'2008'!B23,'2009'!B23,'2010'!B23,'2011'!B23,'2012'!B23,'2013'!B23,'2014'!B23,'2015'!B23,'2016'!B23,'2017'!B23,'2018'!B23,'2019'!B23,'2020'!B23,'2021'!B23,'2022'!B23,'2023'!B23,'2024'!B23,'2025'!B23)</f>
        <v/>
      </c>
      <c r="C23" s="8">
        <f>AVERAGE('1991'!C23,'1992'!C23,'1993'!C23,'1994'!C23,'1995'!C23,'1996'!C23,'1997'!C23,'1998'!C23,'1999'!C23,'2000'!C23,'2001'!C23,'2002'!C23,'2003'!C23,'2004'!C23,'2005'!C23,'2006'!C23,'2007'!C23,'2008'!C23,'2009'!C23,'2010'!C23,'2011'!C23,'2012'!C23,'2013'!C23,'2014'!C23,'2015'!C23,'2016'!C23,'2017'!C23,'2018'!C23,'2019'!C23,'2020'!C23,'2021'!C23,'2022'!C23,'2023'!C23,'2024'!C23,'2025'!C23)</f>
        <v/>
      </c>
      <c r="D23" s="8">
        <f>AVERAGE('1991'!D23,'1992'!D23,'1993'!D23,'1994'!D23,'1995'!D23,'1996'!D23,'1997'!D23,'1998'!D23,'1999'!D23,'2000'!D23,'2001'!D23,'2002'!D23,'2003'!D23,'2004'!D23,'2005'!D23,'2006'!D23,'2007'!D23,'2008'!D23,'2009'!D23,'2010'!D23,'2011'!D23,'2012'!D23,'2013'!D23,'2014'!D23,'2015'!D23,'2016'!D23,'2017'!D23,'2018'!D23,'2019'!D23,'2020'!D23,'2021'!D23,'2022'!D23,'2023'!D23,'2024'!D23,'2025'!D23)</f>
        <v/>
      </c>
      <c r="E23" s="8">
        <f>AVERAGE('1991'!E23,'1992'!E23,'1993'!E23,'1994'!E23,'1995'!E23,'1996'!E23,'1997'!E23,'1998'!E23,'1999'!E23,'2000'!E23,'2001'!E23,'2002'!E23,'2003'!E23,'2004'!E23,'2005'!E23,'2006'!E23,'2007'!E23,'2008'!E23,'2009'!E23,'2010'!E23,'2011'!E23,'2012'!E23,'2013'!E23,'2014'!E23,'2015'!E23,'2016'!E23,'2017'!E23,'2018'!E23,'2019'!E23,'2020'!E23,'2021'!E23,'2022'!E23,'2023'!E23,'2024'!E23,'2025'!E23)</f>
        <v/>
      </c>
      <c r="F23" s="8">
        <f>AVERAGE('1991'!F23,'1992'!F23,'1993'!F23,'1994'!F23,'1995'!F23,'1996'!F23,'1997'!F23,'1998'!F23,'1999'!F23,'2000'!F23,'2001'!F23,'2002'!F23,'2003'!F23,'2004'!F23,'2005'!F23,'2006'!F23,'2007'!F23,'2008'!F23,'2009'!F23,'2010'!F23,'2011'!F23,'2012'!F23,'2013'!F23,'2014'!F23,'2015'!F23,'2016'!F23,'2017'!F23,'2018'!F23,'2019'!F23,'2020'!F23,'2021'!F23,'2022'!F23,'2023'!F23,'2024'!F23,'2025'!F23)</f>
        <v/>
      </c>
      <c r="G23" s="8">
        <f>AVERAGE('1991'!G23,'1992'!G23,'1993'!G23,'1994'!G23,'1995'!G23,'1996'!G23,'1997'!G23,'1998'!G23,'1999'!G23,'2000'!G23,'2001'!G23,'2002'!G23,'2003'!G23,'2004'!G23,'2005'!G23,'2006'!G23,'2007'!G23,'2008'!G23,'2009'!G23,'2010'!G23,'2011'!G23,'2012'!G23,'2013'!G23,'2014'!G23,'2015'!G23,'2016'!G23,'2017'!G23,'2018'!G23,'2019'!G23,'2020'!G23,'2021'!G23,'2022'!G23,'2023'!G23,'2024'!G23,'2025'!G23)</f>
        <v/>
      </c>
      <c r="H23" s="8">
        <f>AVERAGE('1991'!H23,'1992'!H23,'1993'!H23,'1994'!H23,'1995'!H23,'1996'!H23,'1997'!H23,'1998'!H23,'1999'!H23,'2000'!H23,'2001'!H23,'2002'!H23,'2003'!H23,'2004'!H23,'2005'!H23,'2006'!H23,'2007'!H23,'2008'!H23,'2009'!H23,'2010'!H23,'2011'!H23,'2012'!H23,'2013'!H23,'2014'!H23,'2015'!H23,'2016'!H23,'2017'!H23,'2018'!H23,'2019'!H23,'2020'!H23,'2021'!H23,'2022'!H23,'2023'!H23,'2024'!H23,'2025'!H23)</f>
        <v/>
      </c>
      <c r="I23" s="8">
        <f>AVERAGE('1991'!I23,'1992'!I23,'1993'!I23,'1994'!I23,'1995'!I23,'1996'!I23,'1997'!I23,'1998'!I23,'1999'!I23,'2000'!I23,'2001'!I23,'2002'!I23,'2003'!I23,'2004'!I23,'2005'!I23,'2006'!I23,'2007'!I23,'2008'!I23,'2009'!I23,'2010'!I23,'2011'!I23,'2012'!I23,'2013'!I23,'2014'!I23,'2015'!I23,'2016'!I23,'2017'!I23,'2018'!I23,'2019'!I23,'2020'!I23,'2021'!I23,'2022'!I23,'2023'!I23,'2024'!I23,'2025'!I23)</f>
        <v/>
      </c>
      <c r="J23" s="8">
        <f>AVERAGE('1991'!J23,'1992'!J23,'1993'!J23,'1994'!J23,'1995'!J23,'1996'!J23,'1997'!J23,'1998'!J23,'1999'!J23,'2000'!J23,'2001'!J23,'2002'!J23,'2003'!J23,'2004'!J23,'2005'!J23,'2006'!J23,'2007'!J23,'2008'!J23,'2009'!J23,'2010'!J23,'2011'!J23,'2012'!J23,'2013'!J23,'2014'!J23,'2015'!J23,'2016'!J23,'2017'!J23,'2018'!J23,'2019'!J23,'2020'!J23,'2021'!J23,'2022'!J23,'2023'!J23,'2024'!J23,'2025'!J23)</f>
        <v/>
      </c>
      <c r="K23" s="8">
        <f>AVERAGE('1991'!K23,'1992'!K23,'1993'!K23,'1994'!K23,'1995'!K23,'1996'!K23,'1997'!K23,'1998'!K23,'1999'!K23,'2000'!K23,'2001'!K23,'2002'!K23,'2003'!K23,'2004'!K23,'2005'!K23,'2006'!K23,'2007'!K23,'2008'!K23,'2009'!K23,'2010'!K23,'2011'!K23,'2012'!K23,'2013'!K23,'2014'!K23,'2015'!K23,'2016'!K23,'2017'!K23,'2018'!K23,'2019'!K23,'2020'!K23,'2021'!K23,'2022'!K23,'2023'!K23,'2024'!K23,'2025'!K23)</f>
        <v/>
      </c>
      <c r="L23" s="8">
        <f>AVERAGE('1991'!L23,'1992'!L23,'1993'!L23,'1994'!L23,'1995'!L23,'1996'!L23,'1997'!L23,'1998'!L23,'1999'!L23,'2000'!L23,'2001'!L23,'2002'!L23,'2003'!L23,'2004'!L23,'2005'!L23,'2006'!L23,'2007'!L23,'2008'!L23,'2009'!L23,'2010'!L23,'2011'!L23,'2012'!L23,'2013'!L23,'2014'!L23,'2015'!L23,'2016'!L23,'2017'!L23,'2018'!L23,'2019'!L23,'2020'!L23,'2021'!L23,'2022'!L23,'2023'!L23,'2024'!L23,'2025'!L23)</f>
        <v/>
      </c>
      <c r="M23" s="8">
        <f>AVERAGE('1991'!M23,'1992'!M23,'1993'!M23,'1994'!M23,'1995'!M23,'1996'!M23,'1997'!M23,'1998'!M23,'1999'!M23,'2000'!M23,'2001'!M23,'2002'!M23,'2003'!M23,'2004'!M23,'2005'!M23,'2006'!M23,'2007'!M23,'2008'!M23,'2009'!M23,'2010'!M23,'2011'!M23,'2012'!M23,'2013'!M23,'2014'!M23,'2015'!M23,'2016'!M23,'2017'!M23,'2018'!M23,'2019'!M23,'2020'!M23,'2021'!M23,'2022'!M23,'2023'!M23,'2024'!M23,'2025'!M23)</f>
        <v/>
      </c>
      <c r="N23" s="9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8">
        <f>AVERAGE('1991'!B25,'1992'!B25,'1993'!B25,'1994'!B25,'1995'!B25,'1996'!B25,'1997'!B25,'1998'!B25,'1999'!B25,'2000'!B25,'2001'!B25,'2002'!B25,'2003'!B25,'2004'!B25,'2005'!B25,'2006'!B25,'2007'!B25,'2008'!B25,'2009'!B25,'2010'!B25,'2011'!B25,'2012'!B25,'2013'!B25,'2014'!B25,'2015'!B25,'2016'!B25,'2017'!B25,'2018'!B25,'2019'!B25,'2020'!B25,'2021'!B25,'2022'!B25,'2023'!B25,'2024'!B25,'2025'!B25)</f>
        <v/>
      </c>
      <c r="C25" s="8">
        <f>AVERAGE('1991'!C25,'1992'!C25,'1993'!C25,'1994'!C25,'1995'!C25,'1996'!C25,'1997'!C25,'1998'!C25,'1999'!C25,'2000'!C25,'2001'!C25,'2002'!C25,'2003'!C25,'2004'!C25,'2005'!C25,'2006'!C25,'2007'!C25,'2008'!C25,'2009'!C25,'2010'!C25,'2011'!C25,'2012'!C25,'2013'!C25,'2014'!C25,'2015'!C25,'2016'!C25,'2017'!C25,'2018'!C25,'2019'!C25,'2020'!C25,'2021'!C25,'2022'!C25,'2023'!C25,'2024'!C25,'2025'!C25)</f>
        <v/>
      </c>
      <c r="D25" s="8">
        <f>AVERAGE('1991'!D25,'1992'!D25,'1993'!D25,'1994'!D25,'1995'!D25,'1996'!D25,'1997'!D25,'1998'!D25,'1999'!D25,'2000'!D25,'2001'!D25,'2002'!D25,'2003'!D25,'2004'!D25,'2005'!D25,'2006'!D25,'2007'!D25,'2008'!D25,'2009'!D25,'2010'!D25,'2011'!D25,'2012'!D25,'2013'!D25,'2014'!D25,'2015'!D25,'2016'!D25,'2017'!D25,'2018'!D25,'2019'!D25,'2020'!D25,'2021'!D25,'2022'!D25,'2023'!D25,'2024'!D25,'2025'!D25)</f>
        <v/>
      </c>
      <c r="E25" s="8">
        <f>AVERAGE('1991'!E25,'1992'!E25,'1993'!E25,'1994'!E25,'1995'!E25,'1996'!E25,'1997'!E25,'1998'!E25,'1999'!E25,'2000'!E25,'2001'!E25,'2002'!E25,'2003'!E25,'2004'!E25,'2005'!E25,'2006'!E25,'2007'!E25,'2008'!E25,'2009'!E25,'2010'!E25,'2011'!E25,'2012'!E25,'2013'!E25,'2014'!E25,'2015'!E25,'2016'!E25,'2017'!E25,'2018'!E25,'2019'!E25,'2020'!E25,'2021'!E25,'2022'!E25,'2023'!E25,'2024'!E25,'2025'!E25)</f>
        <v/>
      </c>
      <c r="F25" s="8">
        <f>AVERAGE('1991'!F25,'1992'!F25,'1993'!F25,'1994'!F25,'1995'!F25,'1996'!F25,'1997'!F25,'1998'!F25,'1999'!F25,'2000'!F25,'2001'!F25,'2002'!F25,'2003'!F25,'2004'!F25,'2005'!F25,'2006'!F25,'2007'!F25,'2008'!F25,'2009'!F25,'2010'!F25,'2011'!F25,'2012'!F25,'2013'!F25,'2014'!F25,'2015'!F25,'2016'!F25,'2017'!F25,'2018'!F25,'2019'!F25,'2020'!F25,'2021'!F25,'2022'!F25,'2023'!F25,'2024'!F25,'2025'!F25)</f>
        <v/>
      </c>
      <c r="G25" s="8">
        <f>AVERAGE('1991'!G25,'1992'!G25,'1993'!G25,'1994'!G25,'1995'!G25,'1996'!G25,'1997'!G25,'1998'!G25,'1999'!G25,'2000'!G25,'2001'!G25,'2002'!G25,'2003'!G25,'2004'!G25,'2005'!G25,'2006'!G25,'2007'!G25,'2008'!G25,'2009'!G25,'2010'!G25,'2011'!G25,'2012'!G25,'2013'!G25,'2014'!G25,'2015'!G25,'2016'!G25,'2017'!G25,'2018'!G25,'2019'!G25,'2020'!G25,'2021'!G25,'2022'!G25,'2023'!G25,'2024'!G25,'2025'!G25)</f>
        <v/>
      </c>
      <c r="H25" s="8">
        <f>AVERAGE('1991'!H25,'1992'!H25,'1993'!H25,'1994'!H25,'1995'!H25,'1996'!H25,'1997'!H25,'1998'!H25,'1999'!H25,'2000'!H25,'2001'!H25,'2002'!H25,'2003'!H25,'2004'!H25,'2005'!H25,'2006'!H25,'2007'!H25,'2008'!H25,'2009'!H25,'2010'!H25,'2011'!H25,'2012'!H25,'2013'!H25,'2014'!H25,'2015'!H25,'2016'!H25,'2017'!H25,'2018'!H25,'2019'!H25,'2020'!H25,'2021'!H25,'2022'!H25,'2023'!H25,'2024'!H25,'2025'!H25)</f>
        <v/>
      </c>
      <c r="I25" s="8">
        <f>AVERAGE('1991'!I25,'1992'!I25,'1993'!I25,'1994'!I25,'1995'!I25,'1996'!I25,'1997'!I25,'1998'!I25,'1999'!I25,'2000'!I25,'2001'!I25,'2002'!I25,'2003'!I25,'2004'!I25,'2005'!I25,'2006'!I25,'2007'!I25,'2008'!I25,'2009'!I25,'2010'!I25,'2011'!I25,'2012'!I25,'2013'!I25,'2014'!I25,'2015'!I25,'2016'!I25,'2017'!I25,'2018'!I25,'2019'!I25,'2020'!I25,'2021'!I25,'2022'!I25,'2023'!I25,'2024'!I25,'2025'!I25)</f>
        <v/>
      </c>
      <c r="J25" s="8">
        <f>AVERAGE('1991'!J25,'1992'!J25,'1993'!J25,'1994'!J25,'1995'!J25,'1996'!J25,'1997'!J25,'1998'!J25,'1999'!J25,'2000'!J25,'2001'!J25,'2002'!J25,'2003'!J25,'2004'!J25,'2005'!J25,'2006'!J25,'2007'!J25,'2008'!J25,'2009'!J25,'2010'!J25,'2011'!J25,'2012'!J25,'2013'!J25,'2014'!J25,'2015'!J25,'2016'!J25,'2017'!J25,'2018'!J25,'2019'!J25,'2020'!J25,'2021'!J25,'2022'!J25,'2023'!J25,'2024'!J25,'2025'!J25)</f>
        <v/>
      </c>
      <c r="K25" s="8">
        <f>AVERAGE('1991'!K25,'1992'!K25,'1993'!K25,'1994'!K25,'1995'!K25,'1996'!K25,'1997'!K25,'1998'!K25,'1999'!K25,'2000'!K25,'2001'!K25,'2002'!K25,'2003'!K25,'2004'!K25,'2005'!K25,'2006'!K25,'2007'!K25,'2008'!K25,'2009'!K25,'2010'!K25,'2011'!K25,'2012'!K25,'2013'!K25,'2014'!K25,'2015'!K25,'2016'!K25,'2017'!K25,'2018'!K25,'2019'!K25,'2020'!K25,'2021'!K25,'2022'!K25,'2023'!K25,'2024'!K25,'2025'!K25)</f>
        <v/>
      </c>
      <c r="L25" s="8">
        <f>AVERAGE('1991'!L25,'1992'!L25,'1993'!L25,'1994'!L25,'1995'!L25,'1996'!L25,'1997'!L25,'1998'!L25,'1999'!L25,'2000'!L25,'2001'!L25,'2002'!L25,'2003'!L25,'2004'!L25,'2005'!L25,'2006'!L25,'2007'!L25,'2008'!L25,'2009'!L25,'2010'!L25,'2011'!L25,'2012'!L25,'2013'!L25,'2014'!L25,'2015'!L25,'2016'!L25,'2017'!L25,'2018'!L25,'2019'!L25,'2020'!L25,'2021'!L25,'2022'!L25,'2023'!L25,'2024'!L25,'2025'!L25)</f>
        <v/>
      </c>
      <c r="M25" s="8">
        <f>AVERAGE('1991'!M25,'1992'!M25,'1993'!M25,'1994'!M25,'1995'!M25,'1996'!M25,'1997'!M25,'1998'!M25,'1999'!M25,'2000'!M25,'2001'!M25,'2002'!M25,'2003'!M25,'2004'!M25,'2005'!M25,'2006'!M25,'2007'!M25,'2008'!M25,'2009'!M25,'2010'!M25,'2011'!M25,'2012'!M25,'2013'!M25,'2014'!M25,'2015'!M25,'2016'!M25,'2017'!M25,'2018'!M25,'2019'!M25,'2020'!M25,'2021'!M25,'2022'!M25,'2023'!M25,'2024'!M25,'2025'!M25)</f>
        <v/>
      </c>
      <c r="N25" s="9">
        <f>SUM(B25:M25)</f>
        <v/>
      </c>
    </row>
    <row r="26">
      <c r="A26" s="7" t="inlineStr">
        <is>
          <t>snežnim pokrivačem</t>
        </is>
      </c>
      <c r="B26" s="8">
        <f>AVERAGE('1991'!B26,'1992'!B26,'1993'!B26,'1994'!B26,'1995'!B26,'1996'!B26,'1997'!B26,'1998'!B26,'1999'!B26,'2000'!B26,'2001'!B26,'2002'!B26,'2003'!B26,'2004'!B26,'2005'!B26,'2006'!B26,'2007'!B26,'2008'!B26,'2009'!B26,'2010'!B26,'2011'!B26,'2012'!B26,'2013'!B26,'2014'!B26,'2015'!B26,'2016'!B26,'2017'!B26,'2018'!B26,'2019'!B26,'2020'!B26,'2021'!B26,'2022'!B26,'2023'!B26,'2024'!B26,'2025'!B26)</f>
        <v/>
      </c>
      <c r="C26" s="8">
        <f>AVERAGE('1991'!C26,'1992'!C26,'1993'!C26,'1994'!C26,'1995'!C26,'1996'!C26,'1997'!C26,'1998'!C26,'1999'!C26,'2000'!C26,'2001'!C26,'2002'!C26,'2003'!C26,'2004'!C26,'2005'!C26,'2006'!C26,'2007'!C26,'2008'!C26,'2009'!C26,'2010'!C26,'2011'!C26,'2012'!C26,'2013'!C26,'2014'!C26,'2015'!C26,'2016'!C26,'2017'!C26,'2018'!C26,'2019'!C26,'2020'!C26,'2021'!C26,'2022'!C26,'2023'!C26,'2024'!C26,'2025'!C26)</f>
        <v/>
      </c>
      <c r="D26" s="8">
        <f>AVERAGE('1991'!D26,'1992'!D26,'1993'!D26,'1994'!D26,'1995'!D26,'1996'!D26,'1997'!D26,'1998'!D26,'1999'!D26,'2000'!D26,'2001'!D26,'2002'!D26,'2003'!D26,'2004'!D26,'2005'!D26,'2006'!D26,'2007'!D26,'2008'!D26,'2009'!D26,'2010'!D26,'2011'!D26,'2012'!D26,'2013'!D26,'2014'!D26,'2015'!D26,'2016'!D26,'2017'!D26,'2018'!D26,'2019'!D26,'2020'!D26,'2021'!D26,'2022'!D26,'2023'!D26,'2024'!D26,'2025'!D26)</f>
        <v/>
      </c>
      <c r="E26" s="8">
        <f>AVERAGE('1991'!E26,'1992'!E26,'1993'!E26,'1994'!E26,'1995'!E26,'1996'!E26,'1997'!E26,'1998'!E26,'1999'!E26,'2000'!E26,'2001'!E26,'2002'!E26,'2003'!E26,'2004'!E26,'2005'!E26,'2006'!E26,'2007'!E26,'2008'!E26,'2009'!E26,'2010'!E26,'2011'!E26,'2012'!E26,'2013'!E26,'2014'!E26,'2015'!E26,'2016'!E26,'2017'!E26,'2018'!E26,'2019'!E26,'2020'!E26,'2021'!E26,'2022'!E26,'2023'!E26,'2024'!E26,'2025'!E26)</f>
        <v/>
      </c>
      <c r="F26" s="8">
        <f>AVERAGE('1991'!F26,'1992'!F26,'1993'!F26,'1994'!F26,'1995'!F26,'1996'!F26,'1997'!F26,'1998'!F26,'1999'!F26,'2000'!F26,'2001'!F26,'2002'!F26,'2003'!F26,'2004'!F26,'2005'!F26,'2006'!F26,'2007'!F26,'2008'!F26,'2009'!F26,'2010'!F26,'2011'!F26,'2012'!F26,'2013'!F26,'2014'!F26,'2015'!F26,'2016'!F26,'2017'!F26,'2018'!F26,'2019'!F26,'2020'!F26,'2021'!F26,'2022'!F26,'2023'!F26,'2024'!F26,'2025'!F26)</f>
        <v/>
      </c>
      <c r="G26" s="8">
        <f>AVERAGE('1991'!G26,'1992'!G26,'1993'!G26,'1994'!G26,'1995'!G26,'1996'!G26,'1997'!G26,'1998'!G26,'1999'!G26,'2000'!G26,'2001'!G26,'2002'!G26,'2003'!G26,'2004'!G26,'2005'!G26,'2006'!G26,'2007'!G26,'2008'!G26,'2009'!G26,'2010'!G26,'2011'!G26,'2012'!G26,'2013'!G26,'2014'!G26,'2015'!G26,'2016'!G26,'2017'!G26,'2018'!G26,'2019'!G26,'2020'!G26,'2021'!G26,'2022'!G26,'2023'!G26,'2024'!G26,'2025'!G26)</f>
        <v/>
      </c>
      <c r="H26" s="8">
        <f>AVERAGE('1991'!H26,'1992'!H26,'1993'!H26,'1994'!H26,'1995'!H26,'1996'!H26,'1997'!H26,'1998'!H26,'1999'!H26,'2000'!H26,'2001'!H26,'2002'!H26,'2003'!H26,'2004'!H26,'2005'!H26,'2006'!H26,'2007'!H26,'2008'!H26,'2009'!H26,'2010'!H26,'2011'!H26,'2012'!H26,'2013'!H26,'2014'!H26,'2015'!H26,'2016'!H26,'2017'!H26,'2018'!H26,'2019'!H26,'2020'!H26,'2021'!H26,'2022'!H26,'2023'!H26,'2024'!H26,'2025'!H26)</f>
        <v/>
      </c>
      <c r="I26" s="8">
        <f>AVERAGE('1991'!I26,'1992'!I26,'1993'!I26,'1994'!I26,'1995'!I26,'1996'!I26,'1997'!I26,'1998'!I26,'1999'!I26,'2000'!I26,'2001'!I26,'2002'!I26,'2003'!I26,'2004'!I26,'2005'!I26,'2006'!I26,'2007'!I26,'2008'!I26,'2009'!I26,'2010'!I26,'2011'!I26,'2012'!I26,'2013'!I26,'2014'!I26,'2015'!I26,'2016'!I26,'2017'!I26,'2018'!I26,'2019'!I26,'2020'!I26,'2021'!I26,'2022'!I26,'2023'!I26,'2024'!I26,'2025'!I26)</f>
        <v/>
      </c>
      <c r="J26" s="8">
        <f>AVERAGE('1991'!J26,'1992'!J26,'1993'!J26,'1994'!J26,'1995'!J26,'1996'!J26,'1997'!J26,'1998'!J26,'1999'!J26,'2000'!J26,'2001'!J26,'2002'!J26,'2003'!J26,'2004'!J26,'2005'!J26,'2006'!J26,'2007'!J26,'2008'!J26,'2009'!J26,'2010'!J26,'2011'!J26,'2012'!J26,'2013'!J26,'2014'!J26,'2015'!J26,'2016'!J26,'2017'!J26,'2018'!J26,'2019'!J26,'2020'!J26,'2021'!J26,'2022'!J26,'2023'!J26,'2024'!J26,'2025'!J26)</f>
        <v/>
      </c>
      <c r="K26" s="8">
        <f>AVERAGE('1991'!K26,'1992'!K26,'1993'!K26,'1994'!K26,'1995'!K26,'1996'!K26,'1997'!K26,'1998'!K26,'1999'!K26,'2000'!K26,'2001'!K26,'2002'!K26,'2003'!K26,'2004'!K26,'2005'!K26,'2006'!K26,'2007'!K26,'2008'!K26,'2009'!K26,'2010'!K26,'2011'!K26,'2012'!K26,'2013'!K26,'2014'!K26,'2015'!K26,'2016'!K26,'2017'!K26,'2018'!K26,'2019'!K26,'2020'!K26,'2021'!K26,'2022'!K26,'2023'!K26,'2024'!K26,'2025'!K26)</f>
        <v/>
      </c>
      <c r="L26" s="8">
        <f>AVERAGE('1991'!L26,'1992'!L26,'1993'!L26,'1994'!L26,'1995'!L26,'1996'!L26,'1997'!L26,'1998'!L26,'1999'!L26,'2000'!L26,'2001'!L26,'2002'!L26,'2003'!L26,'2004'!L26,'2005'!L26,'2006'!L26,'2007'!L26,'2008'!L26,'2009'!L26,'2010'!L26,'2011'!L26,'2012'!L26,'2013'!L26,'2014'!L26,'2015'!L26,'2016'!L26,'2017'!L26,'2018'!L26,'2019'!L26,'2020'!L26,'2021'!L26,'2022'!L26,'2023'!L26,'2024'!L26,'2025'!L26)</f>
        <v/>
      </c>
      <c r="M26" s="8">
        <f>AVERAGE('1991'!M26,'1992'!M26,'1993'!M26,'1994'!M26,'1995'!M26,'1996'!M26,'1997'!M26,'1998'!M26,'1999'!M26,'2000'!M26,'2001'!M26,'2002'!M26,'2003'!M26,'2004'!M26,'2005'!M26,'2006'!M26,'2007'!M26,'2008'!M26,'2009'!M26,'2010'!M26,'2011'!M26,'2012'!M26,'2013'!M26,'2014'!M26,'2015'!M26,'2016'!M26,'2017'!M26,'2018'!M26,'2019'!M26,'2020'!M26,'2021'!M26,'2022'!M26,'2023'!M26,'2024'!M26,'2025'!M26)</f>
        <v/>
      </c>
      <c r="N26" s="9">
        <f>SUM(B26:M26)</f>
        <v/>
      </c>
    </row>
    <row r="27">
      <c r="A27" s="7" t="inlineStr">
        <is>
          <t>maglom</t>
        </is>
      </c>
      <c r="B27" s="8">
        <f>AVERAGE('1991'!B27,'1992'!B27,'1993'!B27,'1994'!B27,'1995'!B27,'1996'!B27,'1997'!B27,'1998'!B27,'1999'!B27,'2000'!B27,'2001'!B27,'2002'!B27,'2003'!B27,'2004'!B27,'2005'!B27,'2006'!B27,'2007'!B27,'2008'!B27,'2009'!B27,'2010'!B27,'2011'!B27,'2012'!B27,'2013'!B27,'2014'!B27,'2015'!B27,'2016'!B27,'2017'!B27,'2018'!B27,'2019'!B27,'2020'!B27,'2021'!B27,'2022'!B27,'2023'!B27,'2024'!B27,'2025'!B27)</f>
        <v/>
      </c>
      <c r="C27" s="8">
        <f>AVERAGE('1991'!C27,'1992'!C27,'1993'!C27,'1994'!C27,'1995'!C27,'1996'!C27,'1997'!C27,'1998'!C27,'1999'!C27,'2000'!C27,'2001'!C27,'2002'!C27,'2003'!C27,'2004'!C27,'2005'!C27,'2006'!C27,'2007'!C27,'2008'!C27,'2009'!C27,'2010'!C27,'2011'!C27,'2012'!C27,'2013'!C27,'2014'!C27,'2015'!C27,'2016'!C27,'2017'!C27,'2018'!C27,'2019'!C27,'2020'!C27,'2021'!C27,'2022'!C27,'2023'!C27,'2024'!C27,'2025'!C27)</f>
        <v/>
      </c>
      <c r="D27" s="8">
        <f>AVERAGE('1991'!D27,'1992'!D27,'1993'!D27,'1994'!D27,'1995'!D27,'1996'!D27,'1997'!D27,'1998'!D27,'1999'!D27,'2000'!D27,'2001'!D27,'2002'!D27,'2003'!D27,'2004'!D27,'2005'!D27,'2006'!D27,'2007'!D27,'2008'!D27,'2009'!D27,'2010'!D27,'2011'!D27,'2012'!D27,'2013'!D27,'2014'!D27,'2015'!D27,'2016'!D27,'2017'!D27,'2018'!D27,'2019'!D27,'2020'!D27,'2021'!D27,'2022'!D27,'2023'!D27,'2024'!D27,'2025'!D27)</f>
        <v/>
      </c>
      <c r="E27" s="8">
        <f>AVERAGE('1991'!E27,'1992'!E27,'1993'!E27,'1994'!E27,'1995'!E27,'1996'!E27,'1997'!E27,'1998'!E27,'1999'!E27,'2000'!E27,'2001'!E27,'2002'!E27,'2003'!E27,'2004'!E27,'2005'!E27,'2006'!E27,'2007'!E27,'2008'!E27,'2009'!E27,'2010'!E27,'2011'!E27,'2012'!E27,'2013'!E27,'2014'!E27,'2015'!E27,'2016'!E27,'2017'!E27,'2018'!E27,'2019'!E27,'2020'!E27,'2021'!E27,'2022'!E27,'2023'!E27,'2024'!E27,'2025'!E27)</f>
        <v/>
      </c>
      <c r="F27" s="8">
        <f>AVERAGE('1991'!F27,'1992'!F27,'1993'!F27,'1994'!F27,'1995'!F27,'1996'!F27,'1997'!F27,'1998'!F27,'1999'!F27,'2000'!F27,'2001'!F27,'2002'!F27,'2003'!F27,'2004'!F27,'2005'!F27,'2006'!F27,'2007'!F27,'2008'!F27,'2009'!F27,'2010'!F27,'2011'!F27,'2012'!F27,'2013'!F27,'2014'!F27,'2015'!F27,'2016'!F27,'2017'!F27,'2018'!F27,'2019'!F27,'2020'!F27,'2021'!F27,'2022'!F27,'2023'!F27,'2024'!F27,'2025'!F27)</f>
        <v/>
      </c>
      <c r="G27" s="8">
        <f>AVERAGE('1991'!G27,'1992'!G27,'1993'!G27,'1994'!G27,'1995'!G27,'1996'!G27,'1997'!G27,'1998'!G27,'1999'!G27,'2000'!G27,'2001'!G27,'2002'!G27,'2003'!G27,'2004'!G27,'2005'!G27,'2006'!G27,'2007'!G27,'2008'!G27,'2009'!G27,'2010'!G27,'2011'!G27,'2012'!G27,'2013'!G27,'2014'!G27,'2015'!G27,'2016'!G27,'2017'!G27,'2018'!G27,'2019'!G27,'2020'!G27,'2021'!G27,'2022'!G27,'2023'!G27,'2024'!G27,'2025'!G27)</f>
        <v/>
      </c>
      <c r="H27" s="8">
        <f>AVERAGE('1991'!H27,'1992'!H27,'1993'!H27,'1994'!H27,'1995'!H27,'1996'!H27,'1997'!H27,'1998'!H27,'1999'!H27,'2000'!H27,'2001'!H27,'2002'!H27,'2003'!H27,'2004'!H27,'2005'!H27,'2006'!H27,'2007'!H27,'2008'!H27,'2009'!H27,'2010'!H27,'2011'!H27,'2012'!H27,'2013'!H27,'2014'!H27,'2015'!H27,'2016'!H27,'2017'!H27,'2018'!H27,'2019'!H27,'2020'!H27,'2021'!H27,'2022'!H27,'2023'!H27,'2024'!H27,'2025'!H27)</f>
        <v/>
      </c>
      <c r="I27" s="8">
        <f>AVERAGE('1991'!I27,'1992'!I27,'1993'!I27,'1994'!I27,'1995'!I27,'1996'!I27,'1997'!I27,'1998'!I27,'1999'!I27,'2000'!I27,'2001'!I27,'2002'!I27,'2003'!I27,'2004'!I27,'2005'!I27,'2006'!I27,'2007'!I27,'2008'!I27,'2009'!I27,'2010'!I27,'2011'!I27,'2012'!I27,'2013'!I27,'2014'!I27,'2015'!I27,'2016'!I27,'2017'!I27,'2018'!I27,'2019'!I27,'2020'!I27,'2021'!I27,'2022'!I27,'2023'!I27,'2024'!I27,'2025'!I27)</f>
        <v/>
      </c>
      <c r="J27" s="8">
        <f>AVERAGE('1991'!J27,'1992'!J27,'1993'!J27,'1994'!J27,'1995'!J27,'1996'!J27,'1997'!J27,'1998'!J27,'1999'!J27,'2000'!J27,'2001'!J27,'2002'!J27,'2003'!J27,'2004'!J27,'2005'!J27,'2006'!J27,'2007'!J27,'2008'!J27,'2009'!J27,'2010'!J27,'2011'!J27,'2012'!J27,'2013'!J27,'2014'!J27,'2015'!J27,'2016'!J27,'2017'!J27,'2018'!J27,'2019'!J27,'2020'!J27,'2021'!J27,'2022'!J27,'2023'!J27,'2024'!J27,'2025'!J27)</f>
        <v/>
      </c>
      <c r="K27" s="8">
        <f>AVERAGE('1991'!K27,'1992'!K27,'1993'!K27,'1994'!K27,'1995'!K27,'1996'!K27,'1997'!K27,'1998'!K27,'1999'!K27,'2000'!K27,'2001'!K27,'2002'!K27,'2003'!K27,'2004'!K27,'2005'!K27,'2006'!K27,'2007'!K27,'2008'!K27,'2009'!K27,'2010'!K27,'2011'!K27,'2012'!K27,'2013'!K27,'2014'!K27,'2015'!K27,'2016'!K27,'2017'!K27,'2018'!K27,'2019'!K27,'2020'!K27,'2021'!K27,'2022'!K27,'2023'!K27,'2024'!K27,'2025'!K27)</f>
        <v/>
      </c>
      <c r="L27" s="8">
        <f>AVERAGE('1991'!L27,'1992'!L27,'1993'!L27,'1994'!L27,'1995'!L27,'1996'!L27,'1997'!L27,'1998'!L27,'1999'!L27,'2000'!L27,'2001'!L27,'2002'!L27,'2003'!L27,'2004'!L27,'2005'!L27,'2006'!L27,'2007'!L27,'2008'!L27,'2009'!L27,'2010'!L27,'2011'!L27,'2012'!L27,'2013'!L27,'2014'!L27,'2015'!L27,'2016'!L27,'2017'!L27,'2018'!L27,'2019'!L27,'2020'!L27,'2021'!L27,'2022'!L27,'2023'!L27,'2024'!L27,'2025'!L27)</f>
        <v/>
      </c>
      <c r="M27" s="8">
        <f>AVERAGE('1991'!M27,'1992'!M27,'1993'!M27,'1994'!M27,'1995'!M27,'1996'!M27,'1997'!M27,'1998'!M27,'1999'!M27,'2000'!M27,'2001'!M27,'2002'!M27,'2003'!M27,'2004'!M27,'2005'!M27,'2006'!M27,'2007'!M27,'2008'!M27,'2009'!M27,'2010'!M27,'2011'!M27,'2012'!M27,'2013'!M27,'2014'!M27,'2015'!M27,'2016'!M27,'2017'!M27,'2018'!M27,'2019'!M27,'2020'!M27,'2021'!M27,'2022'!M27,'2023'!M27,'2024'!M27,'2025'!M27)</f>
        <v/>
      </c>
      <c r="N27" s="9">
        <f>SUM(B27:M27)</f>
        <v/>
      </c>
    </row>
    <row r="28">
      <c r="A28" s="7" t="inlineStr">
        <is>
          <t>gradom</t>
        </is>
      </c>
      <c r="B28" s="8">
        <f>AVERAGE('1991'!B28,'1992'!B28,'1993'!B28,'1994'!B28,'1995'!B28,'1996'!B28,'1997'!B28,'1998'!B28,'1999'!B28,'2000'!B28,'2001'!B28,'2002'!B28,'2003'!B28,'2004'!B28,'2005'!B28,'2006'!B28,'2007'!B28,'2008'!B28,'2009'!B28,'2010'!B28,'2011'!B28,'2012'!B28,'2013'!B28,'2014'!B28,'2015'!B28,'2016'!B28,'2017'!B28,'2018'!B28,'2019'!B28,'2020'!B28,'2021'!B28,'2022'!B28,'2023'!B28,'2024'!B28,'2025'!B28)</f>
        <v/>
      </c>
      <c r="C28" s="8">
        <f>AVERAGE('1991'!C28,'1992'!C28,'1993'!C28,'1994'!C28,'1995'!C28,'1996'!C28,'1997'!C28,'1998'!C28,'1999'!C28,'2000'!C28,'2001'!C28,'2002'!C28,'2003'!C28,'2004'!C28,'2005'!C28,'2006'!C28,'2007'!C28,'2008'!C28,'2009'!C28,'2010'!C28,'2011'!C28,'2012'!C28,'2013'!C28,'2014'!C28,'2015'!C28,'2016'!C28,'2017'!C28,'2018'!C28,'2019'!C28,'2020'!C28,'2021'!C28,'2022'!C28,'2023'!C28,'2024'!C28,'2025'!C28)</f>
        <v/>
      </c>
      <c r="D28" s="8">
        <f>AVERAGE('1991'!D28,'1992'!D28,'1993'!D28,'1994'!D28,'1995'!D28,'1996'!D28,'1997'!D28,'1998'!D28,'1999'!D28,'2000'!D28,'2001'!D28,'2002'!D28,'2003'!D28,'2004'!D28,'2005'!D28,'2006'!D28,'2007'!D28,'2008'!D28,'2009'!D28,'2010'!D28,'2011'!D28,'2012'!D28,'2013'!D28,'2014'!D28,'2015'!D28,'2016'!D28,'2017'!D28,'2018'!D28,'2019'!D28,'2020'!D28,'2021'!D28,'2022'!D28,'2023'!D28,'2024'!D28,'2025'!D28)</f>
        <v/>
      </c>
      <c r="E28" s="8">
        <f>AVERAGE('1991'!E28,'1992'!E28,'1993'!E28,'1994'!E28,'1995'!E28,'1996'!E28,'1997'!E28,'1998'!E28,'1999'!E28,'2000'!E28,'2001'!E28,'2002'!E28,'2003'!E28,'2004'!E28,'2005'!E28,'2006'!E28,'2007'!E28,'2008'!E28,'2009'!E28,'2010'!E28,'2011'!E28,'2012'!E28,'2013'!E28,'2014'!E28,'2015'!E28,'2016'!E28,'2017'!E28,'2018'!E28,'2019'!E28,'2020'!E28,'2021'!E28,'2022'!E28,'2023'!E28,'2024'!E28,'2025'!E28)</f>
        <v/>
      </c>
      <c r="F28" s="8">
        <f>AVERAGE('1991'!F28,'1992'!F28,'1993'!F28,'1994'!F28,'1995'!F28,'1996'!F28,'1997'!F28,'1998'!F28,'1999'!F28,'2000'!F28,'2001'!F28,'2002'!F28,'2003'!F28,'2004'!F28,'2005'!F28,'2006'!F28,'2007'!F28,'2008'!F28,'2009'!F28,'2010'!F28,'2011'!F28,'2012'!F28,'2013'!F28,'2014'!F28,'2015'!F28,'2016'!F28,'2017'!F28,'2018'!F28,'2019'!F28,'2020'!F28,'2021'!F28,'2022'!F28,'2023'!F28,'2024'!F28,'2025'!F28)</f>
        <v/>
      </c>
      <c r="G28" s="8">
        <f>AVERAGE('1991'!G28,'1992'!G28,'1993'!G28,'1994'!G28,'1995'!G28,'1996'!G28,'1997'!G28,'1998'!G28,'1999'!G28,'2000'!G28,'2001'!G28,'2002'!G28,'2003'!G28,'2004'!G28,'2005'!G28,'2006'!G28,'2007'!G28,'2008'!G28,'2009'!G28,'2010'!G28,'2011'!G28,'2012'!G28,'2013'!G28,'2014'!G28,'2015'!G28,'2016'!G28,'2017'!G28,'2018'!G28,'2019'!G28,'2020'!G28,'2021'!G28,'2022'!G28,'2023'!G28,'2024'!G28,'2025'!G28)</f>
        <v/>
      </c>
      <c r="H28" s="8">
        <f>AVERAGE('1991'!H28,'1992'!H28,'1993'!H28,'1994'!H28,'1995'!H28,'1996'!H28,'1997'!H28,'1998'!H28,'1999'!H28,'2000'!H28,'2001'!H28,'2002'!H28,'2003'!H28,'2004'!H28,'2005'!H28,'2006'!H28,'2007'!H28,'2008'!H28,'2009'!H28,'2010'!H28,'2011'!H28,'2012'!H28,'2013'!H28,'2014'!H28,'2015'!H28,'2016'!H28,'2017'!H28,'2018'!H28,'2019'!H28,'2020'!H28,'2021'!H28,'2022'!H28,'2023'!H28,'2024'!H28,'2025'!H28)</f>
        <v/>
      </c>
      <c r="I28" s="8">
        <f>AVERAGE('1991'!I28,'1992'!I28,'1993'!I28,'1994'!I28,'1995'!I28,'1996'!I28,'1997'!I28,'1998'!I28,'1999'!I28,'2000'!I28,'2001'!I28,'2002'!I28,'2003'!I28,'2004'!I28,'2005'!I28,'2006'!I28,'2007'!I28,'2008'!I28,'2009'!I28,'2010'!I28,'2011'!I28,'2012'!I28,'2013'!I28,'2014'!I28,'2015'!I28,'2016'!I28,'2017'!I28,'2018'!I28,'2019'!I28,'2020'!I28,'2021'!I28,'2022'!I28,'2023'!I28,'2024'!I28,'2025'!I28)</f>
        <v/>
      </c>
      <c r="J28" s="8">
        <f>AVERAGE('1991'!J28,'1992'!J28,'1993'!J28,'1994'!J28,'1995'!J28,'1996'!J28,'1997'!J28,'1998'!J28,'1999'!J28,'2000'!J28,'2001'!J28,'2002'!J28,'2003'!J28,'2004'!J28,'2005'!J28,'2006'!J28,'2007'!J28,'2008'!J28,'2009'!J28,'2010'!J28,'2011'!J28,'2012'!J28,'2013'!J28,'2014'!J28,'2015'!J28,'2016'!J28,'2017'!J28,'2018'!J28,'2019'!J28,'2020'!J28,'2021'!J28,'2022'!J28,'2023'!J28,'2024'!J28,'2025'!J28)</f>
        <v/>
      </c>
      <c r="K28" s="8">
        <f>AVERAGE('1991'!K28,'1992'!K28,'1993'!K28,'1994'!K28,'1995'!K28,'1996'!K28,'1997'!K28,'1998'!K28,'1999'!K28,'2000'!K28,'2001'!K28,'2002'!K28,'2003'!K28,'2004'!K28,'2005'!K28,'2006'!K28,'2007'!K28,'2008'!K28,'2009'!K28,'2010'!K28,'2011'!K28,'2012'!K28,'2013'!K28,'2014'!K28,'2015'!K28,'2016'!K28,'2017'!K28,'2018'!K28,'2019'!K28,'2020'!K28,'2021'!K28,'2022'!K28,'2023'!K28,'2024'!K28,'2025'!K28)</f>
        <v/>
      </c>
      <c r="L28" s="8">
        <f>AVERAGE('1991'!L28,'1992'!L28,'1993'!L28,'1994'!L28,'1995'!L28,'1996'!L28,'1997'!L28,'1998'!L28,'1999'!L28,'2000'!L28,'2001'!L28,'2002'!L28,'2003'!L28,'2004'!L28,'2005'!L28,'2006'!L28,'2007'!L28,'2008'!L28,'2009'!L28,'2010'!L28,'2011'!L28,'2012'!L28,'2013'!L28,'2014'!L28,'2015'!L28,'2016'!L28,'2017'!L28,'2018'!L28,'2019'!L28,'2020'!L28,'2021'!L28,'2022'!L28,'2023'!L28,'2024'!L28,'2025'!L28)</f>
        <v/>
      </c>
      <c r="M28" s="8">
        <f>AVERAGE('1991'!M28,'1992'!M28,'1993'!M28,'1994'!M28,'1995'!M28,'1996'!M28,'1997'!M28,'1998'!M28,'1999'!M28,'2000'!M28,'2001'!M28,'2002'!M28,'2003'!M28,'2004'!M28,'2005'!M28,'2006'!M28,'2007'!M28,'2008'!M28,'2009'!M28,'2010'!M28,'2011'!M28,'2012'!M28,'2013'!M28,'2014'!M28,'2015'!M28,'2016'!M28,'2017'!M28,'2018'!M28,'2019'!M28,'2020'!M28,'2021'!M28,'2022'!M28,'2023'!M28,'2024'!M28,'2025'!M28)</f>
        <v/>
      </c>
      <c r="N28" s="9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1991.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0.4</v>
      </c>
      <c r="C6" s="8" t="n">
        <v>-0.5</v>
      </c>
      <c r="D6" s="8" t="n">
        <v>7.7</v>
      </c>
      <c r="E6" s="8" t="n">
        <v>9.9</v>
      </c>
      <c r="F6" s="8" t="n">
        <v>12.7</v>
      </c>
      <c r="G6" s="8" t="n">
        <v>19.9</v>
      </c>
      <c r="H6" s="8" t="n">
        <v>21.3</v>
      </c>
      <c r="I6" s="8" t="n">
        <v>20.2</v>
      </c>
      <c r="J6" s="8" t="n">
        <v>18.2</v>
      </c>
      <c r="K6" s="8" t="n">
        <v>11.7</v>
      </c>
      <c r="L6" s="8" t="n">
        <v>7</v>
      </c>
      <c r="M6" s="8" t="n">
        <v>-2.4</v>
      </c>
      <c r="N6" s="9">
        <f>AVERAGE(B6:M6)</f>
        <v/>
      </c>
    </row>
    <row r="7">
      <c r="A7" s="7" t="inlineStr">
        <is>
          <t>Srednja maksimalna</t>
        </is>
      </c>
      <c r="B7" s="8" t="n">
        <v>4.7</v>
      </c>
      <c r="C7" s="8" t="n">
        <v>4.6</v>
      </c>
      <c r="D7" s="8" t="n">
        <v>13.5</v>
      </c>
      <c r="E7" s="8" t="n">
        <v>14.9</v>
      </c>
      <c r="F7" s="8" t="n">
        <v>17.3</v>
      </c>
      <c r="G7" s="8" t="n">
        <v>24.9</v>
      </c>
      <c r="H7" s="8" t="n">
        <v>25.7</v>
      </c>
      <c r="I7" s="8" t="n">
        <v>24.4</v>
      </c>
      <c r="J7" s="8" t="n">
        <v>23.8</v>
      </c>
      <c r="K7" s="8" t="n">
        <v>16.6</v>
      </c>
      <c r="L7" s="8" t="n">
        <v>11.5</v>
      </c>
      <c r="M7" s="8" t="n">
        <v>1.1</v>
      </c>
      <c r="N7" s="9">
        <f>AVERAGE(B7:M7)</f>
        <v/>
      </c>
    </row>
    <row r="8">
      <c r="A8" s="7" t="inlineStr">
        <is>
          <t>Srednja minimalna</t>
        </is>
      </c>
      <c r="B8" s="8" t="n">
        <v>-2.9</v>
      </c>
      <c r="C8" s="8" t="n">
        <v>-4.8</v>
      </c>
      <c r="D8" s="8" t="n">
        <v>2.6</v>
      </c>
      <c r="E8" s="8" t="n">
        <v>4.5</v>
      </c>
      <c r="F8" s="8" t="n">
        <v>8</v>
      </c>
      <c r="G8" s="8" t="n">
        <v>13.8</v>
      </c>
      <c r="H8" s="8" t="n">
        <v>16.4</v>
      </c>
      <c r="I8" s="8" t="n">
        <v>15.9</v>
      </c>
      <c r="J8" s="8" t="n">
        <v>12.5</v>
      </c>
      <c r="K8" s="8" t="n">
        <v>7.3</v>
      </c>
      <c r="L8" s="8" t="n">
        <v>3.1</v>
      </c>
      <c r="M8" s="8" t="n">
        <v>-6</v>
      </c>
      <c r="N8" s="9">
        <f>AVERAGE(B8:M8)</f>
        <v/>
      </c>
    </row>
    <row r="9">
      <c r="A9" s="7" t="inlineStr">
        <is>
          <t>Apsolutni maksimum</t>
        </is>
      </c>
      <c r="B9" s="8" t="n">
        <v>13.3</v>
      </c>
      <c r="C9" s="8" t="n">
        <v>13.1</v>
      </c>
      <c r="D9" s="8" t="n">
        <v>22.7</v>
      </c>
      <c r="E9" s="8" t="n">
        <v>19.9</v>
      </c>
      <c r="F9" s="8" t="n">
        <v>22.9</v>
      </c>
      <c r="G9" s="8" t="n">
        <v>32.3</v>
      </c>
      <c r="H9" s="8" t="n">
        <v>32.9</v>
      </c>
      <c r="I9" s="8" t="n">
        <v>29.5</v>
      </c>
      <c r="J9" s="8" t="n">
        <v>31.1</v>
      </c>
      <c r="K9" s="8" t="n">
        <v>30.8</v>
      </c>
      <c r="L9" s="8" t="n">
        <v>17</v>
      </c>
      <c r="M9" s="8" t="n">
        <v>7</v>
      </c>
      <c r="N9" s="9">
        <f>MAX(B9:M9)</f>
        <v/>
      </c>
    </row>
    <row r="10">
      <c r="A10" s="7" t="inlineStr">
        <is>
          <t>Apsolutni minimum</t>
        </is>
      </c>
      <c r="B10" s="8" t="n">
        <v>-12.5</v>
      </c>
      <c r="C10" s="8" t="n">
        <v>-15.9</v>
      </c>
      <c r="D10" s="8" t="n">
        <v>-3.3</v>
      </c>
      <c r="E10" s="8" t="n">
        <v>1.7</v>
      </c>
      <c r="F10" s="8" t="n">
        <v>2.9</v>
      </c>
      <c r="G10" s="8" t="n">
        <v>7.8</v>
      </c>
      <c r="H10" s="8" t="n">
        <v>12.5</v>
      </c>
      <c r="I10" s="8" t="n">
        <v>11.7</v>
      </c>
      <c r="J10" s="8" t="n">
        <v>8.300000000000001</v>
      </c>
      <c r="K10" s="8" t="n">
        <v>-2.8</v>
      </c>
      <c r="L10" s="8" t="n">
        <v>-3.6</v>
      </c>
      <c r="M10" s="8" t="n">
        <v>-15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23</v>
      </c>
      <c r="D11" s="10" t="n">
        <v>6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5</v>
      </c>
      <c r="L11" s="10" t="n">
        <v>8</v>
      </c>
      <c r="M11" s="10" t="n">
        <v>29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4</v>
      </c>
      <c r="H12" s="10" t="n">
        <v>5</v>
      </c>
      <c r="I12" s="10" t="n">
        <v>0</v>
      </c>
      <c r="J12" s="10" t="n">
        <v>1</v>
      </c>
      <c r="K12" s="10" t="n">
        <v>1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78.5</v>
      </c>
      <c r="C14" s="8" t="n">
        <v>77.09999999999999</v>
      </c>
      <c r="D14" s="8" t="n">
        <v>76.90000000000001</v>
      </c>
      <c r="E14" s="8" t="n">
        <v>74.40000000000001</v>
      </c>
      <c r="F14" s="8" t="n">
        <v>76</v>
      </c>
      <c r="G14" s="8" t="n">
        <v>71.8</v>
      </c>
      <c r="H14" s="8" t="n">
        <v>77.5</v>
      </c>
      <c r="I14" s="8" t="n">
        <v>76.8</v>
      </c>
      <c r="J14" s="8" t="n">
        <v>72</v>
      </c>
      <c r="K14" s="8" t="n">
        <v>74.3</v>
      </c>
      <c r="L14" s="8" t="n">
        <v>82.5</v>
      </c>
      <c r="M14" s="8" t="n">
        <v>82.5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218.5</v>
      </c>
      <c r="C16" s="8" t="n">
        <v>227.3</v>
      </c>
      <c r="D16" s="8" t="n">
        <v>262.1</v>
      </c>
      <c r="E16" s="8" t="n">
        <v>318.1</v>
      </c>
      <c r="F16" s="8" t="n">
        <v>275.9</v>
      </c>
      <c r="G16" s="8" t="n">
        <v>382.8</v>
      </c>
      <c r="H16" s="8" t="n">
        <v>333.9</v>
      </c>
      <c r="I16" s="8" t="n">
        <v>346.8</v>
      </c>
      <c r="J16" s="8" t="n">
        <v>326.8</v>
      </c>
      <c r="K16" s="8" t="n">
        <v>259.8</v>
      </c>
      <c r="L16" s="8" t="n">
        <v>163.7</v>
      </c>
      <c r="M16" s="8" t="n">
        <v>153.8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4</v>
      </c>
      <c r="D17" s="10" t="n">
        <v>6</v>
      </c>
      <c r="E17" s="10" t="n">
        <v>0</v>
      </c>
      <c r="F17" s="10" t="n">
        <v>0</v>
      </c>
      <c r="G17" s="10" t="n">
        <v>11</v>
      </c>
      <c r="H17" s="10" t="n">
        <v>9</v>
      </c>
      <c r="I17" s="10" t="n">
        <v>7</v>
      </c>
      <c r="J17" s="10" t="n">
        <v>9</v>
      </c>
      <c r="K17" s="10" t="n">
        <v>5</v>
      </c>
      <c r="L17" s="10" t="n">
        <v>4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14</v>
      </c>
      <c r="D18" s="10" t="n">
        <v>11</v>
      </c>
      <c r="E18" s="10" t="n">
        <v>10</v>
      </c>
      <c r="F18" s="10" t="n">
        <v>9</v>
      </c>
      <c r="G18" s="10" t="n">
        <v>2</v>
      </c>
      <c r="H18" s="10" t="n">
        <v>8</v>
      </c>
      <c r="I18" s="10" t="n">
        <v>4</v>
      </c>
      <c r="J18" s="10" t="n">
        <v>1</v>
      </c>
      <c r="K18" s="10" t="n">
        <v>8</v>
      </c>
      <c r="L18" s="10" t="n">
        <v>14</v>
      </c>
      <c r="M18" s="10" t="n">
        <v>15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20.1</v>
      </c>
      <c r="C20" s="8" t="n">
        <v>43.2</v>
      </c>
      <c r="D20" s="8" t="n">
        <v>63.8</v>
      </c>
      <c r="E20" s="8" t="n">
        <v>98.2</v>
      </c>
      <c r="F20" s="8" t="n">
        <v>116.6</v>
      </c>
      <c r="G20" s="8" t="n">
        <v>56.3</v>
      </c>
      <c r="H20" s="8" t="n">
        <v>110.9</v>
      </c>
      <c r="I20" s="8" t="n">
        <v>67.40000000000001</v>
      </c>
      <c r="J20" s="8" t="n">
        <v>15.9</v>
      </c>
      <c r="K20" s="8" t="n">
        <v>41.8</v>
      </c>
      <c r="L20" s="8" t="n">
        <v>47.6</v>
      </c>
      <c r="M20" s="8" t="n">
        <v>51.2</v>
      </c>
      <c r="N20" s="9">
        <f>SUM(B20:M20)</f>
        <v/>
      </c>
    </row>
    <row r="21">
      <c r="A21" s="7" t="inlineStr">
        <is>
          <t>Max. dnevna suma</t>
        </is>
      </c>
      <c r="B21" s="8" t="n">
        <v>8</v>
      </c>
      <c r="C21" s="8" t="n">
        <v>22</v>
      </c>
      <c r="D21" s="8" t="n">
        <v>20.9</v>
      </c>
      <c r="E21" s="8" t="n">
        <v>23.9</v>
      </c>
      <c r="F21" s="8" t="n">
        <v>16.8</v>
      </c>
      <c r="G21" s="8" t="n">
        <v>19.8</v>
      </c>
      <c r="H21" s="8" t="n">
        <v>19.5</v>
      </c>
      <c r="I21" s="8" t="n">
        <v>11.2</v>
      </c>
      <c r="J21" s="8" t="n">
        <v>4.5</v>
      </c>
      <c r="K21" s="8" t="n">
        <v>11.4</v>
      </c>
      <c r="L21" s="8" t="n">
        <v>8.6</v>
      </c>
      <c r="M21" s="8" t="n">
        <v>14.4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10</v>
      </c>
      <c r="C22" s="10" t="n">
        <v>12</v>
      </c>
      <c r="D22" s="10" t="n">
        <v>13</v>
      </c>
      <c r="E22" s="10" t="n">
        <v>23</v>
      </c>
      <c r="F22" s="10" t="n">
        <v>25</v>
      </c>
      <c r="G22" s="10" t="n">
        <v>15</v>
      </c>
      <c r="H22" s="10" t="n">
        <v>18</v>
      </c>
      <c r="I22" s="10" t="n">
        <v>19</v>
      </c>
      <c r="J22" s="10" t="n">
        <v>12</v>
      </c>
      <c r="K22" s="10" t="n">
        <v>17</v>
      </c>
      <c r="L22" s="10" t="n">
        <v>14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1</v>
      </c>
      <c r="D23" s="10" t="n">
        <v>1</v>
      </c>
      <c r="E23" s="10" t="n">
        <v>3</v>
      </c>
      <c r="F23" s="10" t="n">
        <v>3</v>
      </c>
      <c r="G23" s="10" t="n">
        <v>1</v>
      </c>
      <c r="H23" s="10" t="n">
        <v>4</v>
      </c>
      <c r="I23" s="10" t="n">
        <v>2</v>
      </c>
      <c r="J23" s="10" t="n">
        <v>0</v>
      </c>
      <c r="K23" s="10" t="n">
        <v>1</v>
      </c>
      <c r="L23" s="10" t="n">
        <v>0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8</v>
      </c>
      <c r="C25" s="10" t="n">
        <v>9</v>
      </c>
      <c r="D25" s="10" t="n">
        <v>2</v>
      </c>
      <c r="E25" s="10" t="n">
        <v>2</v>
      </c>
      <c r="F25" s="10" t="n">
        <v>1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3</v>
      </c>
      <c r="L25" s="10" t="n">
        <v>1</v>
      </c>
      <c r="M25" s="10" t="n">
        <v>18</v>
      </c>
      <c r="N25" s="11">
        <f>SUM(B25:M25)</f>
        <v/>
      </c>
    </row>
    <row r="26">
      <c r="A26" s="7" t="inlineStr">
        <is>
          <t>snežnim pokrivačem</t>
        </is>
      </c>
      <c r="B26" s="10" t="n">
        <v>8</v>
      </c>
      <c r="C26" s="10" t="n">
        <v>9</v>
      </c>
      <c r="D26" s="10" t="n">
        <v>2</v>
      </c>
      <c r="E26" s="10" t="n">
        <v>2</v>
      </c>
      <c r="F26" s="10" t="n">
        <v>1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3</v>
      </c>
      <c r="L26" s="10" t="n">
        <v>1</v>
      </c>
      <c r="M26" s="10" t="n">
        <v>18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1992.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-0.7</v>
      </c>
      <c r="C6" s="8" t="n">
        <v>2.4</v>
      </c>
      <c r="D6" s="8" t="n">
        <v>6.2</v>
      </c>
      <c r="E6" s="8" t="n">
        <v>11</v>
      </c>
      <c r="F6" s="8" t="n">
        <v>16.2</v>
      </c>
      <c r="G6" s="8" t="n">
        <v>19.2</v>
      </c>
      <c r="H6" s="8" t="n">
        <v>21.4</v>
      </c>
      <c r="I6" s="8" t="n">
        <v>25.9</v>
      </c>
      <c r="J6" s="8" t="n">
        <v>18.2</v>
      </c>
      <c r="K6" s="8" t="n">
        <v>13.7</v>
      </c>
      <c r="L6" s="8" t="n">
        <v>7.3</v>
      </c>
      <c r="M6" s="8" t="n">
        <v>0.7</v>
      </c>
      <c r="N6" s="9">
        <f>AVERAGE(B6:M6)</f>
        <v/>
      </c>
    </row>
    <row r="7">
      <c r="A7" s="7" t="inlineStr">
        <is>
          <t>Srednja maksimalna</t>
        </is>
      </c>
      <c r="B7" s="8" t="n">
        <v>3.9</v>
      </c>
      <c r="C7" s="8" t="n">
        <v>7</v>
      </c>
      <c r="D7" s="8" t="n">
        <v>12.1</v>
      </c>
      <c r="E7" s="8" t="n">
        <v>16.9</v>
      </c>
      <c r="F7" s="8" t="n">
        <v>21.1</v>
      </c>
      <c r="G7" s="8" t="n">
        <v>24</v>
      </c>
      <c r="H7" s="8" t="n">
        <v>26.3</v>
      </c>
      <c r="I7" s="8" t="n">
        <v>31.8</v>
      </c>
      <c r="J7" s="8" t="n">
        <v>24.5</v>
      </c>
      <c r="K7" s="8" t="n">
        <v>19.5</v>
      </c>
      <c r="L7" s="8" t="n">
        <v>11.7</v>
      </c>
      <c r="M7" s="8" t="n">
        <v>4.6</v>
      </c>
      <c r="N7" s="9">
        <f>AVERAGE(B7:M7)</f>
        <v/>
      </c>
    </row>
    <row r="8">
      <c r="A8" s="7" t="inlineStr">
        <is>
          <t>Srednja minimalna</t>
        </is>
      </c>
      <c r="B8" s="8" t="n">
        <v>-4.8</v>
      </c>
      <c r="C8" s="8" t="n">
        <v>-1.9</v>
      </c>
      <c r="D8" s="8" t="n">
        <v>0.7</v>
      </c>
      <c r="E8" s="8" t="n">
        <v>4.6</v>
      </c>
      <c r="F8" s="8" t="n">
        <v>10.6</v>
      </c>
      <c r="G8" s="8" t="n">
        <v>14.2</v>
      </c>
      <c r="H8" s="8" t="n">
        <v>15.8</v>
      </c>
      <c r="I8" s="8" t="n">
        <v>19.2</v>
      </c>
      <c r="J8" s="8" t="n">
        <v>11.9</v>
      </c>
      <c r="K8" s="8" t="n">
        <v>8.699999999999999</v>
      </c>
      <c r="L8" s="8" t="n">
        <v>3.5</v>
      </c>
      <c r="M8" s="8" t="n">
        <v>-2.3</v>
      </c>
      <c r="N8" s="9">
        <f>AVERAGE(B8:M8)</f>
        <v/>
      </c>
    </row>
    <row r="9">
      <c r="A9" s="7" t="inlineStr">
        <is>
          <t>Apsolutni maksimum</t>
        </is>
      </c>
      <c r="B9" s="8" t="n">
        <v>8.699999999999999</v>
      </c>
      <c r="C9" s="8" t="n">
        <v>14.1</v>
      </c>
      <c r="D9" s="8" t="n">
        <v>21.3</v>
      </c>
      <c r="E9" s="8" t="n">
        <v>26</v>
      </c>
      <c r="F9" s="8" t="n">
        <v>28.3</v>
      </c>
      <c r="G9" s="8" t="n">
        <v>32</v>
      </c>
      <c r="H9" s="8" t="n">
        <v>30.1</v>
      </c>
      <c r="I9" s="8" t="n">
        <v>36</v>
      </c>
      <c r="J9" s="8" t="n">
        <v>33.1</v>
      </c>
      <c r="K9" s="8" t="n">
        <v>28</v>
      </c>
      <c r="L9" s="8" t="n">
        <v>21.3</v>
      </c>
      <c r="M9" s="8" t="n">
        <v>13.7</v>
      </c>
      <c r="N9" s="9">
        <f>MAX(B9:M9)</f>
        <v/>
      </c>
    </row>
    <row r="10">
      <c r="A10" s="7" t="inlineStr">
        <is>
          <t>Apsolutni minimum</t>
        </is>
      </c>
      <c r="B10" s="8" t="n">
        <v>-15</v>
      </c>
      <c r="C10" s="8" t="n">
        <v>-9.199999999999999</v>
      </c>
      <c r="D10" s="8" t="n">
        <v>-4.9</v>
      </c>
      <c r="E10" s="8" t="n">
        <v>-1.3</v>
      </c>
      <c r="F10" s="8" t="n">
        <v>7.4</v>
      </c>
      <c r="G10" s="8" t="n">
        <v>9.699999999999999</v>
      </c>
      <c r="H10" s="8" t="n">
        <v>12</v>
      </c>
      <c r="I10" s="8" t="n">
        <v>16.1</v>
      </c>
      <c r="J10" s="8" t="n">
        <v>7.4</v>
      </c>
      <c r="K10" s="8" t="n">
        <v>3</v>
      </c>
      <c r="L10" s="8" t="n">
        <v>-3.4</v>
      </c>
      <c r="M10" s="8" t="n">
        <v>-9.300000000000001</v>
      </c>
      <c r="N10" s="9">
        <f>MIN(B10:M10)</f>
        <v/>
      </c>
    </row>
    <row r="11">
      <c r="A11" s="7" t="inlineStr">
        <is>
          <t>Sr. br. mraznih dana</t>
        </is>
      </c>
      <c r="B11" s="10" t="n">
        <v>29</v>
      </c>
      <c r="C11" s="10" t="n">
        <v>22</v>
      </c>
      <c r="D11" s="10" t="n">
        <v>13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20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1</v>
      </c>
      <c r="I12" s="10" t="n">
        <v>24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80.7</v>
      </c>
      <c r="C14" s="8" t="n">
        <v>76.3</v>
      </c>
      <c r="D14" s="8" t="n">
        <v>69</v>
      </c>
      <c r="E14" s="8" t="n">
        <v>73.40000000000001</v>
      </c>
      <c r="F14" s="8" t="n">
        <v>64.2</v>
      </c>
      <c r="G14" s="8" t="n">
        <v>79</v>
      </c>
      <c r="H14" s="8" t="n">
        <v>69.59999999999999</v>
      </c>
      <c r="I14" s="8" t="n">
        <v>56</v>
      </c>
      <c r="J14" s="8" t="n">
        <v>58.6</v>
      </c>
      <c r="K14" s="8" t="n">
        <v>73.40000000000001</v>
      </c>
      <c r="L14" s="8" t="n">
        <v>79.90000000000001</v>
      </c>
      <c r="M14" s="8" t="n">
        <v>79.3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194.6</v>
      </c>
      <c r="C16" s="8" t="n">
        <v>215</v>
      </c>
      <c r="D16" s="8" t="n">
        <v>296.4</v>
      </c>
      <c r="E16" s="8" t="n">
        <v>270</v>
      </c>
      <c r="F16" s="8" t="n">
        <v>348.9</v>
      </c>
      <c r="G16" s="8" t="n">
        <v>303.6</v>
      </c>
      <c r="H16" s="8" t="n">
        <v>389.2</v>
      </c>
      <c r="I16" s="8" t="n">
        <v>397.1</v>
      </c>
      <c r="J16" s="8" t="n">
        <v>334.8</v>
      </c>
      <c r="K16" s="8" t="n">
        <v>247.9</v>
      </c>
      <c r="L16" s="8" t="n">
        <v>177</v>
      </c>
      <c r="M16" s="8" t="n">
        <v>199.3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5</v>
      </c>
      <c r="D17" s="10" t="n">
        <v>5</v>
      </c>
      <c r="E17" s="10" t="n">
        <v>3</v>
      </c>
      <c r="F17" s="10" t="n">
        <v>5</v>
      </c>
      <c r="G17" s="10" t="n">
        <v>0</v>
      </c>
      <c r="H17" s="10" t="n">
        <v>9</v>
      </c>
      <c r="I17" s="10" t="n">
        <v>16</v>
      </c>
      <c r="J17" s="10" t="n">
        <v>16</v>
      </c>
      <c r="K17" s="10" t="n">
        <v>0</v>
      </c>
      <c r="L17" s="10" t="n">
        <v>3</v>
      </c>
      <c r="M17" s="10" t="n">
        <v>10</v>
      </c>
      <c r="N17" s="11">
        <f>SUM(B17:M17)</f>
        <v/>
      </c>
    </row>
    <row r="18">
      <c r="A18" s="7" t="inlineStr">
        <is>
          <t>Broj oblačnih dana</t>
        </is>
      </c>
      <c r="B18" s="10" t="n">
        <v>12</v>
      </c>
      <c r="C18" s="10" t="n">
        <v>6</v>
      </c>
      <c r="D18" s="10" t="n">
        <v>4</v>
      </c>
      <c r="E18" s="10" t="n">
        <v>10</v>
      </c>
      <c r="F18" s="10" t="n">
        <v>5</v>
      </c>
      <c r="G18" s="10" t="n">
        <v>9</v>
      </c>
      <c r="H18" s="10" t="n">
        <v>1</v>
      </c>
      <c r="I18" s="10" t="n">
        <v>0</v>
      </c>
      <c r="J18" s="10" t="n">
        <v>0</v>
      </c>
      <c r="K18" s="10" t="n">
        <v>8</v>
      </c>
      <c r="L18" s="10" t="n">
        <v>12</v>
      </c>
      <c r="M18" s="10" t="n">
        <v>10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17.9</v>
      </c>
      <c r="C20" s="8" t="n">
        <v>54</v>
      </c>
      <c r="D20" s="8" t="n">
        <v>38.3</v>
      </c>
      <c r="E20" s="8" t="n">
        <v>103.8</v>
      </c>
      <c r="F20" s="8" t="n">
        <v>55.8</v>
      </c>
      <c r="G20" s="8" t="n">
        <v>162.4</v>
      </c>
      <c r="H20" s="8" t="n">
        <v>50.7</v>
      </c>
      <c r="I20" s="8" t="n">
        <v>18.3</v>
      </c>
      <c r="J20" s="8" t="n">
        <v>26</v>
      </c>
      <c r="K20" s="8" t="n">
        <v>30.2</v>
      </c>
      <c r="L20" s="8" t="n">
        <v>54.7</v>
      </c>
      <c r="M20" s="8" t="n">
        <v>45.3</v>
      </c>
      <c r="N20" s="9">
        <f>SUM(B20:M20)</f>
        <v/>
      </c>
    </row>
    <row r="21">
      <c r="A21" s="7" t="inlineStr">
        <is>
          <t>Max. dnevna suma</t>
        </is>
      </c>
      <c r="B21" s="8" t="n">
        <v>6</v>
      </c>
      <c r="C21" s="8" t="n">
        <v>12.2</v>
      </c>
      <c r="D21" s="8" t="n">
        <v>10.1</v>
      </c>
      <c r="E21" s="8" t="n">
        <v>22.6</v>
      </c>
      <c r="F21" s="8" t="n">
        <v>11.5</v>
      </c>
      <c r="G21" s="8" t="n">
        <v>25.4</v>
      </c>
      <c r="H21" s="8" t="n">
        <v>15</v>
      </c>
      <c r="I21" s="8" t="n">
        <v>6</v>
      </c>
      <c r="J21" s="8" t="n">
        <v>13.5</v>
      </c>
      <c r="K21" s="8" t="n">
        <v>8.1</v>
      </c>
      <c r="L21" s="8" t="n">
        <v>16.4</v>
      </c>
      <c r="M21" s="8" t="n">
        <v>14.4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8</v>
      </c>
      <c r="C22" s="10" t="n">
        <v>16</v>
      </c>
      <c r="D22" s="10" t="n">
        <v>14</v>
      </c>
      <c r="E22" s="10" t="n">
        <v>21</v>
      </c>
      <c r="F22" s="10" t="n">
        <v>12</v>
      </c>
      <c r="G22" s="10" t="n">
        <v>26</v>
      </c>
      <c r="H22" s="10" t="n">
        <v>13</v>
      </c>
      <c r="I22" s="10" t="n">
        <v>11</v>
      </c>
      <c r="J22" s="10" t="n">
        <v>6</v>
      </c>
      <c r="K22" s="10" t="n">
        <v>18</v>
      </c>
      <c r="L22" s="10" t="n">
        <v>14</v>
      </c>
      <c r="M22" s="10" t="n">
        <v>11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1</v>
      </c>
      <c r="D23" s="10" t="n">
        <v>1</v>
      </c>
      <c r="E23" s="10" t="n">
        <v>4</v>
      </c>
      <c r="F23" s="10" t="n">
        <v>2</v>
      </c>
      <c r="G23" s="10" t="n">
        <v>6</v>
      </c>
      <c r="H23" s="10" t="n">
        <v>2</v>
      </c>
      <c r="I23" s="10" t="n">
        <v>0</v>
      </c>
      <c r="J23" s="10" t="n">
        <v>1</v>
      </c>
      <c r="K23" s="10" t="n">
        <v>0</v>
      </c>
      <c r="L23" s="10" t="n">
        <v>2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11</v>
      </c>
      <c r="C25" s="10" t="n">
        <v>14</v>
      </c>
      <c r="D25" s="10" t="n">
        <v>9</v>
      </c>
      <c r="E25" s="10" t="n">
        <v>5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5</v>
      </c>
      <c r="M25" s="10" t="n">
        <v>6</v>
      </c>
      <c r="N25" s="11">
        <f>SUM(B25:M25)</f>
        <v/>
      </c>
    </row>
    <row r="26">
      <c r="A26" s="7" t="inlineStr">
        <is>
          <t>snežnim pokrivačem</t>
        </is>
      </c>
      <c r="B26" s="10" t="n">
        <v>11</v>
      </c>
      <c r="C26" s="10" t="n">
        <v>14</v>
      </c>
      <c r="D26" s="10" t="n">
        <v>9</v>
      </c>
      <c r="E26" s="10" t="n">
        <v>5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5</v>
      </c>
      <c r="M26" s="10" t="n">
        <v>6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1993.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-0.5</v>
      </c>
      <c r="C6" s="8" t="n">
        <v>-0.9</v>
      </c>
      <c r="D6" s="8" t="n">
        <v>3.8</v>
      </c>
      <c r="E6" s="8" t="n">
        <v>11.2</v>
      </c>
      <c r="F6" s="8" t="n">
        <v>17.8</v>
      </c>
      <c r="G6" s="8" t="n">
        <v>20.9</v>
      </c>
      <c r="H6" s="8" t="n">
        <v>22.2</v>
      </c>
      <c r="I6" s="8" t="n">
        <v>23.5</v>
      </c>
      <c r="J6" s="8" t="n">
        <v>17.5</v>
      </c>
      <c r="K6" s="8" t="n">
        <v>14.5</v>
      </c>
      <c r="L6" s="8" t="n">
        <v>1.6</v>
      </c>
      <c r="M6" s="8" t="n">
        <v>2.7</v>
      </c>
      <c r="N6" s="9">
        <f>AVERAGE(B6:M6)</f>
        <v/>
      </c>
    </row>
    <row r="7">
      <c r="A7" s="7" t="inlineStr">
        <is>
          <t>Srednja maksimalna</t>
        </is>
      </c>
      <c r="B7" s="8" t="n">
        <v>5.1</v>
      </c>
      <c r="C7" s="8" t="n">
        <v>4.1</v>
      </c>
      <c r="D7" s="8" t="n">
        <v>8.699999999999999</v>
      </c>
      <c r="E7" s="8" t="n">
        <v>16.8</v>
      </c>
      <c r="F7" s="8" t="n">
        <v>23.1</v>
      </c>
      <c r="G7" s="8" t="n">
        <v>26.5</v>
      </c>
      <c r="H7" s="8" t="n">
        <v>28</v>
      </c>
      <c r="I7" s="8" t="n">
        <v>29.4</v>
      </c>
      <c r="J7" s="8" t="n">
        <v>23.8</v>
      </c>
      <c r="K7" s="8" t="n">
        <v>20.9</v>
      </c>
      <c r="L7" s="8" t="n">
        <v>5.6</v>
      </c>
      <c r="M7" s="8" t="n">
        <v>8</v>
      </c>
      <c r="N7" s="9">
        <f>AVERAGE(B7:M7)</f>
        <v/>
      </c>
    </row>
    <row r="8">
      <c r="A8" s="7" t="inlineStr">
        <is>
          <t>Srednja minimalna</t>
        </is>
      </c>
      <c r="B8" s="8" t="n">
        <v>-4.7</v>
      </c>
      <c r="C8" s="8" t="n">
        <v>-5.3</v>
      </c>
      <c r="D8" s="8" t="n">
        <v>-1.1</v>
      </c>
      <c r="E8" s="8" t="n">
        <v>5.3</v>
      </c>
      <c r="F8" s="8" t="n">
        <v>11.9</v>
      </c>
      <c r="G8" s="8" t="n">
        <v>14.5</v>
      </c>
      <c r="H8" s="8" t="n">
        <v>15.1</v>
      </c>
      <c r="I8" s="8" t="n">
        <v>17.5</v>
      </c>
      <c r="J8" s="8" t="n">
        <v>11.5</v>
      </c>
      <c r="K8" s="8" t="n">
        <v>9.199999999999999</v>
      </c>
      <c r="L8" s="8" t="n">
        <v>-1.9</v>
      </c>
      <c r="M8" s="8" t="n">
        <v>-1.4</v>
      </c>
      <c r="N8" s="9">
        <f>AVERAGE(B8:M8)</f>
        <v/>
      </c>
    </row>
    <row r="9">
      <c r="A9" s="7" t="inlineStr">
        <is>
          <t>Apsolutni maksimum</t>
        </is>
      </c>
      <c r="B9" s="8" t="n">
        <v>14</v>
      </c>
      <c r="C9" s="8" t="n">
        <v>13</v>
      </c>
      <c r="D9" s="8" t="n">
        <v>22.1</v>
      </c>
      <c r="E9" s="8" t="n">
        <v>22.6</v>
      </c>
      <c r="F9" s="8" t="n">
        <v>31.6</v>
      </c>
      <c r="G9" s="8" t="n">
        <v>35.4</v>
      </c>
      <c r="H9" s="8" t="n">
        <v>37.6</v>
      </c>
      <c r="I9" s="8" t="n">
        <v>36.1</v>
      </c>
      <c r="J9" s="8" t="n">
        <v>32.3</v>
      </c>
      <c r="K9" s="8" t="n">
        <v>29.2</v>
      </c>
      <c r="L9" s="8" t="n">
        <v>21</v>
      </c>
      <c r="M9" s="8" t="n">
        <v>14.8</v>
      </c>
      <c r="N9" s="9">
        <f>MAX(B9:M9)</f>
        <v/>
      </c>
    </row>
    <row r="10">
      <c r="A10" s="7" t="inlineStr">
        <is>
          <t>Apsolutni minimum</t>
        </is>
      </c>
      <c r="B10" s="8" t="n">
        <v>-11.6</v>
      </c>
      <c r="C10" s="8" t="n">
        <v>-18.6</v>
      </c>
      <c r="D10" s="8" t="n">
        <v>-11</v>
      </c>
      <c r="E10" s="8" t="n">
        <v>-0.5</v>
      </c>
      <c r="F10" s="8" t="n">
        <v>8</v>
      </c>
      <c r="G10" s="8" t="n">
        <v>9.800000000000001</v>
      </c>
      <c r="H10" s="8" t="n">
        <v>9</v>
      </c>
      <c r="I10" s="8" t="n">
        <v>9.800000000000001</v>
      </c>
      <c r="J10" s="8" t="n">
        <v>5.7</v>
      </c>
      <c r="K10" s="8" t="n">
        <v>-0.5</v>
      </c>
      <c r="L10" s="8" t="n">
        <v>-12</v>
      </c>
      <c r="M10" s="8" t="n">
        <v>-6.8</v>
      </c>
      <c r="N10" s="9">
        <f>MIN(B10:M10)</f>
        <v/>
      </c>
    </row>
    <row r="11">
      <c r="A11" s="7" t="inlineStr">
        <is>
          <t>Sr. br. mraznih dana</t>
        </is>
      </c>
      <c r="B11" s="10" t="n">
        <v>31</v>
      </c>
      <c r="C11" s="10" t="n">
        <v>27</v>
      </c>
      <c r="D11" s="10" t="n">
        <v>17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22</v>
      </c>
      <c r="M11" s="10" t="n">
        <v>22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2</v>
      </c>
      <c r="G12" s="10" t="n">
        <v>7</v>
      </c>
      <c r="H12" s="10" t="n">
        <v>13</v>
      </c>
      <c r="I12" s="10" t="n">
        <v>16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78.5</v>
      </c>
      <c r="C14" s="8" t="n">
        <v>71.3</v>
      </c>
      <c r="D14" s="8" t="n">
        <v>77.7</v>
      </c>
      <c r="E14" s="8" t="n">
        <v>70.8</v>
      </c>
      <c r="F14" s="8" t="n">
        <v>68.5</v>
      </c>
      <c r="G14" s="8" t="n">
        <v>60.5</v>
      </c>
      <c r="H14" s="8" t="n">
        <v>57.8</v>
      </c>
      <c r="I14" s="8" t="n">
        <v>53.9</v>
      </c>
      <c r="J14" s="8" t="n">
        <v>66</v>
      </c>
      <c r="K14" s="8" t="n">
        <v>71.5</v>
      </c>
      <c r="L14" s="8" t="n">
        <v>77.7</v>
      </c>
      <c r="M14" s="8" t="n">
        <v>84.09999999999999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212.2</v>
      </c>
      <c r="C16" s="8" t="n">
        <v>219.8</v>
      </c>
      <c r="D16" s="8" t="n">
        <v>241.6</v>
      </c>
      <c r="E16" s="8" t="n">
        <v>335.3</v>
      </c>
      <c r="F16" s="8" t="n">
        <v>364</v>
      </c>
      <c r="G16" s="8" t="n">
        <v>404.7</v>
      </c>
      <c r="H16" s="8" t="n">
        <v>398</v>
      </c>
      <c r="I16" s="8" t="n">
        <v>358.1</v>
      </c>
      <c r="J16" s="8" t="n">
        <v>318.3</v>
      </c>
      <c r="K16" s="8" t="n">
        <v>290.2</v>
      </c>
      <c r="L16" s="8" t="n">
        <v>183</v>
      </c>
      <c r="M16" s="8" t="n">
        <v>205.7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11</v>
      </c>
      <c r="D17" s="10" t="n">
        <v>2</v>
      </c>
      <c r="E17" s="10" t="n">
        <v>4</v>
      </c>
      <c r="F17" s="10" t="n">
        <v>4</v>
      </c>
      <c r="G17" s="10" t="n">
        <v>4</v>
      </c>
      <c r="H17" s="10" t="n">
        <v>15</v>
      </c>
      <c r="I17" s="10" t="n">
        <v>17</v>
      </c>
      <c r="J17" s="10" t="n">
        <v>10</v>
      </c>
      <c r="K17" s="10" t="n">
        <v>8</v>
      </c>
      <c r="L17" s="10" t="n">
        <v>1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6</v>
      </c>
      <c r="D18" s="10" t="n">
        <v>13</v>
      </c>
      <c r="E18" s="10" t="n">
        <v>5</v>
      </c>
      <c r="F18" s="10" t="n">
        <v>6</v>
      </c>
      <c r="G18" s="10" t="n">
        <v>2</v>
      </c>
      <c r="H18" s="10" t="n">
        <v>1</v>
      </c>
      <c r="I18" s="10" t="n">
        <v>1</v>
      </c>
      <c r="J18" s="10" t="n">
        <v>1</v>
      </c>
      <c r="K18" s="10" t="n">
        <v>4</v>
      </c>
      <c r="L18" s="10" t="n">
        <v>13</v>
      </c>
      <c r="M18" s="10" t="n">
        <v>7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36.7</v>
      </c>
      <c r="C20" s="8" t="n">
        <v>34.4</v>
      </c>
      <c r="D20" s="8" t="n">
        <v>75.5</v>
      </c>
      <c r="E20" s="8" t="n">
        <v>58.4</v>
      </c>
      <c r="F20" s="8" t="n">
        <v>60</v>
      </c>
      <c r="G20" s="8" t="n">
        <v>43.4</v>
      </c>
      <c r="H20" s="8" t="n">
        <v>33.1</v>
      </c>
      <c r="I20" s="8" t="n">
        <v>33.5</v>
      </c>
      <c r="J20" s="8" t="n">
        <v>48.4</v>
      </c>
      <c r="K20" s="8" t="n">
        <v>12.3</v>
      </c>
      <c r="L20" s="8" t="n">
        <v>66.40000000000001</v>
      </c>
      <c r="M20" s="8" t="n">
        <v>59.1</v>
      </c>
      <c r="N20" s="9">
        <f>SUM(B20:M20)</f>
        <v/>
      </c>
    </row>
    <row r="21">
      <c r="A21" s="7" t="inlineStr">
        <is>
          <t>Max. dnevna suma</t>
        </is>
      </c>
      <c r="B21" s="8" t="n">
        <v>6.9</v>
      </c>
      <c r="C21" s="8" t="n">
        <v>16.1</v>
      </c>
      <c r="D21" s="8" t="n">
        <v>16.9</v>
      </c>
      <c r="E21" s="8" t="n">
        <v>7.9</v>
      </c>
      <c r="F21" s="8" t="n">
        <v>9.199999999999999</v>
      </c>
      <c r="G21" s="8" t="n">
        <v>11</v>
      </c>
      <c r="H21" s="8" t="n">
        <v>8.6</v>
      </c>
      <c r="I21" s="8" t="n">
        <v>11.4</v>
      </c>
      <c r="J21" s="8" t="n">
        <v>22.4</v>
      </c>
      <c r="K21" s="8" t="n">
        <v>10.8</v>
      </c>
      <c r="L21" s="8" t="n">
        <v>14.5</v>
      </c>
      <c r="M21" s="8" t="n">
        <v>17.1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11</v>
      </c>
      <c r="C22" s="10" t="n">
        <v>9</v>
      </c>
      <c r="D22" s="10" t="n">
        <v>18</v>
      </c>
      <c r="E22" s="10" t="n">
        <v>16</v>
      </c>
      <c r="F22" s="10" t="n">
        <v>18</v>
      </c>
      <c r="G22" s="10" t="n">
        <v>15</v>
      </c>
      <c r="H22" s="10" t="n">
        <v>12</v>
      </c>
      <c r="I22" s="10" t="n">
        <v>12</v>
      </c>
      <c r="J22" s="10" t="n">
        <v>10</v>
      </c>
      <c r="K22" s="10" t="n">
        <v>4</v>
      </c>
      <c r="L22" s="10" t="n">
        <v>13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1</v>
      </c>
      <c r="D23" s="10" t="n">
        <v>2</v>
      </c>
      <c r="E23" s="10" t="n">
        <v>0</v>
      </c>
      <c r="F23" s="10" t="n">
        <v>0</v>
      </c>
      <c r="G23" s="10" t="n">
        <v>1</v>
      </c>
      <c r="H23" s="10" t="n">
        <v>0</v>
      </c>
      <c r="I23" s="10" t="n">
        <v>2</v>
      </c>
      <c r="J23" s="10" t="n">
        <v>2</v>
      </c>
      <c r="K23" s="10" t="n">
        <v>1</v>
      </c>
      <c r="L23" s="10" t="n">
        <v>2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9</v>
      </c>
      <c r="C25" s="10" t="n">
        <v>10</v>
      </c>
      <c r="D25" s="10" t="n">
        <v>13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9</v>
      </c>
      <c r="M25" s="10" t="n">
        <v>7</v>
      </c>
      <c r="N25" s="11">
        <f>SUM(B25:M25)</f>
        <v/>
      </c>
    </row>
    <row r="26">
      <c r="A26" s="7" t="inlineStr">
        <is>
          <t>snežnim pokrivačem</t>
        </is>
      </c>
      <c r="B26" s="10" t="n">
        <v>9</v>
      </c>
      <c r="C26" s="10" t="n">
        <v>10</v>
      </c>
      <c r="D26" s="10" t="n">
        <v>13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9</v>
      </c>
      <c r="M26" s="10" t="n">
        <v>7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1994.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2.9</v>
      </c>
      <c r="C6" s="8" t="n">
        <v>1.5</v>
      </c>
      <c r="D6" s="8" t="n">
        <v>8.800000000000001</v>
      </c>
      <c r="E6" s="8" t="n">
        <v>12.2</v>
      </c>
      <c r="F6" s="8" t="n">
        <v>17.3</v>
      </c>
      <c r="G6" s="8" t="n">
        <v>19.9</v>
      </c>
      <c r="H6" s="8" t="n">
        <v>22.6</v>
      </c>
      <c r="I6" s="8" t="n">
        <v>23.9</v>
      </c>
      <c r="J6" s="8" t="n">
        <v>21.6</v>
      </c>
      <c r="K6" s="8" t="n">
        <v>11.3</v>
      </c>
      <c r="L6" s="8" t="n">
        <v>7</v>
      </c>
      <c r="M6" s="8" t="n">
        <v>1.5</v>
      </c>
      <c r="N6" s="9">
        <f>AVERAGE(B6:M6)</f>
        <v/>
      </c>
    </row>
    <row r="7">
      <c r="A7" s="7" t="inlineStr">
        <is>
          <t>Srednja maksimalna</t>
        </is>
      </c>
      <c r="B7" s="8" t="n">
        <v>7.7</v>
      </c>
      <c r="C7" s="8" t="n">
        <v>6.5</v>
      </c>
      <c r="D7" s="8" t="n">
        <v>15.1</v>
      </c>
      <c r="E7" s="8" t="n">
        <v>17.3</v>
      </c>
      <c r="F7" s="8" t="n">
        <v>22.6</v>
      </c>
      <c r="G7" s="8" t="n">
        <v>25.2</v>
      </c>
      <c r="H7" s="8" t="n">
        <v>27.2</v>
      </c>
      <c r="I7" s="8" t="n">
        <v>29.7</v>
      </c>
      <c r="J7" s="8" t="n">
        <v>27.7</v>
      </c>
      <c r="K7" s="8" t="n">
        <v>16.2</v>
      </c>
      <c r="L7" s="8" t="n">
        <v>11.6</v>
      </c>
      <c r="M7" s="8" t="n">
        <v>5.9</v>
      </c>
      <c r="N7" s="9">
        <f>AVERAGE(B7:M7)</f>
        <v/>
      </c>
    </row>
    <row r="8">
      <c r="A8" s="7" t="inlineStr">
        <is>
          <t>Srednja minimalna</t>
        </is>
      </c>
      <c r="B8" s="8" t="n">
        <v>-0.9</v>
      </c>
      <c r="C8" s="8" t="n">
        <v>-2.5</v>
      </c>
      <c r="D8" s="8" t="n">
        <v>2.9</v>
      </c>
      <c r="E8" s="8" t="n">
        <v>7.2</v>
      </c>
      <c r="F8" s="8" t="n">
        <v>10.8</v>
      </c>
      <c r="G8" s="8" t="n">
        <v>14</v>
      </c>
      <c r="H8" s="8" t="n">
        <v>17.8</v>
      </c>
      <c r="I8" s="8" t="n">
        <v>17.4</v>
      </c>
      <c r="J8" s="8" t="n">
        <v>15.2</v>
      </c>
      <c r="K8" s="8" t="n">
        <v>6.9</v>
      </c>
      <c r="L8" s="8" t="n">
        <v>3</v>
      </c>
      <c r="M8" s="8" t="n">
        <v>-1.6</v>
      </c>
      <c r="N8" s="9">
        <f>AVERAGE(B8:M8)</f>
        <v/>
      </c>
    </row>
    <row r="9">
      <c r="A9" s="7" t="inlineStr">
        <is>
          <t>Apsolutni maksimum</t>
        </is>
      </c>
      <c r="B9" s="8" t="n">
        <v>13.8</v>
      </c>
      <c r="C9" s="8" t="n">
        <v>18.5</v>
      </c>
      <c r="D9" s="8" t="n">
        <v>24.2</v>
      </c>
      <c r="E9" s="8" t="n">
        <v>23.1</v>
      </c>
      <c r="F9" s="8" t="n">
        <v>31.7</v>
      </c>
      <c r="G9" s="8" t="n">
        <v>33.6</v>
      </c>
      <c r="H9" s="8" t="n">
        <v>32</v>
      </c>
      <c r="I9" s="8" t="n">
        <v>39.2</v>
      </c>
      <c r="J9" s="8" t="n">
        <v>33.8</v>
      </c>
      <c r="K9" s="8" t="n">
        <v>30</v>
      </c>
      <c r="L9" s="8" t="n">
        <v>20.7</v>
      </c>
      <c r="M9" s="8" t="n">
        <v>15.7</v>
      </c>
      <c r="N9" s="9">
        <f>MAX(B9:M9)</f>
        <v/>
      </c>
    </row>
    <row r="10">
      <c r="A10" s="7" t="inlineStr">
        <is>
          <t>Apsolutni minimum</t>
        </is>
      </c>
      <c r="B10" s="8" t="n">
        <v>-5.9</v>
      </c>
      <c r="C10" s="8" t="n">
        <v>-12.3</v>
      </c>
      <c r="D10" s="8" t="n">
        <v>-1.5</v>
      </c>
      <c r="E10" s="8" t="n">
        <v>1.4</v>
      </c>
      <c r="F10" s="8" t="n">
        <v>4.3</v>
      </c>
      <c r="G10" s="8" t="n">
        <v>8.699999999999999</v>
      </c>
      <c r="H10" s="8" t="n">
        <v>13.2</v>
      </c>
      <c r="I10" s="8" t="n">
        <v>12</v>
      </c>
      <c r="J10" s="8" t="n">
        <v>11.2</v>
      </c>
      <c r="K10" s="8" t="n">
        <v>1.7</v>
      </c>
      <c r="L10" s="8" t="n">
        <v>-2.3</v>
      </c>
      <c r="M10" s="8" t="n">
        <v>-10.8</v>
      </c>
      <c r="N10" s="9">
        <f>MIN(B10:M10)</f>
        <v/>
      </c>
    </row>
    <row r="11">
      <c r="A11" s="7" t="inlineStr">
        <is>
          <t>Sr. br. mraznih dana</t>
        </is>
      </c>
      <c r="B11" s="10" t="n">
        <v>22</v>
      </c>
      <c r="C11" s="10" t="n">
        <v>21</v>
      </c>
      <c r="D11" s="10" t="n">
        <v>4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23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4</v>
      </c>
      <c r="G12" s="10" t="n">
        <v>8</v>
      </c>
      <c r="H12" s="10" t="n">
        <v>4</v>
      </c>
      <c r="I12" s="10" t="n">
        <v>16</v>
      </c>
      <c r="J12" s="10" t="n">
        <v>11</v>
      </c>
      <c r="K12" s="10" t="n">
        <v>1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84.40000000000001</v>
      </c>
      <c r="C14" s="8" t="n">
        <v>78</v>
      </c>
      <c r="D14" s="8" t="n">
        <v>72.2</v>
      </c>
      <c r="E14" s="8" t="n">
        <v>73.8</v>
      </c>
      <c r="F14" s="8" t="n">
        <v>67.7</v>
      </c>
      <c r="G14" s="8" t="n">
        <v>69</v>
      </c>
      <c r="H14" s="8" t="n">
        <v>72.8</v>
      </c>
      <c r="I14" s="8" t="n">
        <v>59</v>
      </c>
      <c r="J14" s="8" t="n">
        <v>64.5</v>
      </c>
      <c r="K14" s="8" t="n">
        <v>76.90000000000001</v>
      </c>
      <c r="L14" s="8" t="n">
        <v>80.3</v>
      </c>
      <c r="M14" s="8" t="n">
        <v>80.90000000000001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167.8</v>
      </c>
      <c r="C16" s="8" t="n">
        <v>161.8</v>
      </c>
      <c r="D16" s="8" t="n">
        <v>296</v>
      </c>
      <c r="E16" s="8" t="n">
        <v>271</v>
      </c>
      <c r="F16" s="8" t="n">
        <v>356.2</v>
      </c>
      <c r="G16" s="8" t="n">
        <v>366.5</v>
      </c>
      <c r="H16" s="8" t="n">
        <v>367.8</v>
      </c>
      <c r="I16" s="8" t="n">
        <v>384.9</v>
      </c>
      <c r="J16" s="8" t="n">
        <v>335.1</v>
      </c>
      <c r="K16" s="8" t="n">
        <v>230.3</v>
      </c>
      <c r="L16" s="8" t="n">
        <v>221.9</v>
      </c>
      <c r="M16" s="8" t="n">
        <v>174.1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1</v>
      </c>
      <c r="D17" s="10" t="n">
        <v>8</v>
      </c>
      <c r="E17" s="10" t="n">
        <v>2</v>
      </c>
      <c r="F17" s="10" t="n">
        <v>6</v>
      </c>
      <c r="G17" s="10" t="n">
        <v>8</v>
      </c>
      <c r="H17" s="10" t="n">
        <v>7</v>
      </c>
      <c r="I17" s="10" t="n">
        <v>18</v>
      </c>
      <c r="J17" s="10" t="n">
        <v>9</v>
      </c>
      <c r="K17" s="10" t="n">
        <v>2</v>
      </c>
      <c r="L17" s="10" t="n">
        <v>2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17</v>
      </c>
      <c r="D18" s="10" t="n">
        <v>5</v>
      </c>
      <c r="E18" s="10" t="n">
        <v>13</v>
      </c>
      <c r="F18" s="10" t="n">
        <v>5</v>
      </c>
      <c r="G18" s="10" t="n">
        <v>6</v>
      </c>
      <c r="H18" s="10" t="n">
        <v>4</v>
      </c>
      <c r="I18" s="10" t="n">
        <v>2</v>
      </c>
      <c r="J18" s="10" t="n">
        <v>1</v>
      </c>
      <c r="K18" s="10" t="n">
        <v>10</v>
      </c>
      <c r="L18" s="10" t="n">
        <v>6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59</v>
      </c>
      <c r="C20" s="8" t="n">
        <v>32.4</v>
      </c>
      <c r="D20" s="8" t="n">
        <v>30.9</v>
      </c>
      <c r="E20" s="8" t="n">
        <v>87.40000000000001</v>
      </c>
      <c r="F20" s="8" t="n">
        <v>77.09999999999999</v>
      </c>
      <c r="G20" s="8" t="n">
        <v>87</v>
      </c>
      <c r="H20" s="8" t="n">
        <v>107.5</v>
      </c>
      <c r="I20" s="8" t="n">
        <v>30.8</v>
      </c>
      <c r="J20" s="8" t="n">
        <v>40</v>
      </c>
      <c r="K20" s="8" t="n">
        <v>30.5</v>
      </c>
      <c r="L20" s="8" t="n">
        <v>27</v>
      </c>
      <c r="M20" s="8" t="n">
        <v>51.7</v>
      </c>
      <c r="N20" s="9">
        <f>SUM(B20:M20)</f>
        <v/>
      </c>
    </row>
    <row r="21">
      <c r="A21" s="7" t="inlineStr">
        <is>
          <t>Max. dnevna suma</t>
        </is>
      </c>
      <c r="B21" s="8" t="n">
        <v>15</v>
      </c>
      <c r="C21" s="8" t="n">
        <v>7.6</v>
      </c>
      <c r="D21" s="8" t="n">
        <v>5.1</v>
      </c>
      <c r="E21" s="8" t="n">
        <v>16.6</v>
      </c>
      <c r="F21" s="8" t="n">
        <v>17.3</v>
      </c>
      <c r="G21" s="8" t="n">
        <v>22.7</v>
      </c>
      <c r="H21" s="8" t="n">
        <v>30.5</v>
      </c>
      <c r="I21" s="8" t="n">
        <v>10.8</v>
      </c>
      <c r="J21" s="8" t="n">
        <v>15.9</v>
      </c>
      <c r="K21" s="8" t="n">
        <v>9</v>
      </c>
      <c r="L21" s="8" t="n">
        <v>10.6</v>
      </c>
      <c r="M21" s="8" t="n">
        <v>13.1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14</v>
      </c>
      <c r="D22" s="10" t="n">
        <v>17</v>
      </c>
      <c r="E22" s="10" t="n">
        <v>22</v>
      </c>
      <c r="F22" s="10" t="n">
        <v>15</v>
      </c>
      <c r="G22" s="10" t="n">
        <v>13</v>
      </c>
      <c r="H22" s="10" t="n">
        <v>22</v>
      </c>
      <c r="I22" s="10" t="n">
        <v>13</v>
      </c>
      <c r="J22" s="10" t="n">
        <v>16</v>
      </c>
      <c r="K22" s="10" t="n">
        <v>14</v>
      </c>
      <c r="L22" s="10" t="n">
        <v>11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0</v>
      </c>
      <c r="D23" s="10" t="n">
        <v>0</v>
      </c>
      <c r="E23" s="10" t="n">
        <v>3</v>
      </c>
      <c r="F23" s="10" t="n">
        <v>4</v>
      </c>
      <c r="G23" s="10" t="n">
        <v>3</v>
      </c>
      <c r="H23" s="10" t="n">
        <v>4</v>
      </c>
      <c r="I23" s="10" t="n">
        <v>1</v>
      </c>
      <c r="J23" s="10" t="n">
        <v>1</v>
      </c>
      <c r="K23" s="10" t="n">
        <v>0</v>
      </c>
      <c r="L23" s="10" t="n">
        <v>1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12</v>
      </c>
      <c r="C25" s="10" t="n">
        <v>11</v>
      </c>
      <c r="D25" s="10" t="n">
        <v>4</v>
      </c>
      <c r="E25" s="10" t="n">
        <v>0</v>
      </c>
      <c r="F25" s="10" t="n">
        <v>1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1</v>
      </c>
      <c r="L25" s="10" t="n">
        <v>2</v>
      </c>
      <c r="M25" s="10" t="n">
        <v>13</v>
      </c>
      <c r="N25" s="11">
        <f>SUM(B25:M25)</f>
        <v/>
      </c>
    </row>
    <row r="26">
      <c r="A26" s="7" t="inlineStr">
        <is>
          <t>snežnim pokrivačem</t>
        </is>
      </c>
      <c r="B26" s="10" t="n">
        <v>12</v>
      </c>
      <c r="C26" s="10" t="n">
        <v>11</v>
      </c>
      <c r="D26" s="10" t="n">
        <v>4</v>
      </c>
      <c r="E26" s="10" t="n">
        <v>0</v>
      </c>
      <c r="F26" s="10" t="n">
        <v>1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</v>
      </c>
      <c r="L26" s="10" t="n">
        <v>2</v>
      </c>
      <c r="M26" s="10" t="n">
        <v>13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1995.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-2.4</v>
      </c>
      <c r="C6" s="8" t="n">
        <v>5.4</v>
      </c>
      <c r="D6" s="8" t="n">
        <v>5.9</v>
      </c>
      <c r="E6" s="8" t="n">
        <v>10.7</v>
      </c>
      <c r="F6" s="8" t="n">
        <v>15.6</v>
      </c>
      <c r="G6" s="8" t="n">
        <v>19.5</v>
      </c>
      <c r="H6" s="8" t="n">
        <v>23.9</v>
      </c>
      <c r="I6" s="8" t="n">
        <v>20.8</v>
      </c>
      <c r="J6" s="8" t="n">
        <v>16.4</v>
      </c>
      <c r="K6" s="8" t="n">
        <v>12.2</v>
      </c>
      <c r="L6" s="8" t="n">
        <v>3.5</v>
      </c>
      <c r="M6" s="8" t="n">
        <v>1.2</v>
      </c>
      <c r="N6" s="9">
        <f>AVERAGE(B6:M6)</f>
        <v/>
      </c>
    </row>
    <row r="7">
      <c r="A7" s="7" t="inlineStr">
        <is>
          <t>Srednja maksimalna</t>
        </is>
      </c>
      <c r="B7" s="8" t="n">
        <v>1.9</v>
      </c>
      <c r="C7" s="8" t="n">
        <v>11.5</v>
      </c>
      <c r="D7" s="8" t="n">
        <v>11.6</v>
      </c>
      <c r="E7" s="8" t="n">
        <v>16.5</v>
      </c>
      <c r="F7" s="8" t="n">
        <v>20.3</v>
      </c>
      <c r="G7" s="8" t="n">
        <v>24.6</v>
      </c>
      <c r="H7" s="8" t="n">
        <v>28.8</v>
      </c>
      <c r="I7" s="8" t="n">
        <v>25.5</v>
      </c>
      <c r="J7" s="8" t="n">
        <v>22.1</v>
      </c>
      <c r="K7" s="8" t="n">
        <v>18</v>
      </c>
      <c r="L7" s="8" t="n">
        <v>7.6</v>
      </c>
      <c r="M7" s="8" t="n">
        <v>4.5</v>
      </c>
      <c r="N7" s="9">
        <f>AVERAGE(B7:M7)</f>
        <v/>
      </c>
    </row>
    <row r="8">
      <c r="A8" s="7" t="inlineStr">
        <is>
          <t>Srednja minimalna</t>
        </is>
      </c>
      <c r="B8" s="8" t="n">
        <v>-6.2</v>
      </c>
      <c r="C8" s="8" t="n">
        <v>0.1</v>
      </c>
      <c r="D8" s="8" t="n">
        <v>0.8</v>
      </c>
      <c r="E8" s="8" t="n">
        <v>4.4</v>
      </c>
      <c r="F8" s="8" t="n">
        <v>10.2</v>
      </c>
      <c r="G8" s="8" t="n">
        <v>14.2</v>
      </c>
      <c r="H8" s="8" t="n">
        <v>18.4</v>
      </c>
      <c r="I8" s="8" t="n">
        <v>15.8</v>
      </c>
      <c r="J8" s="8" t="n">
        <v>10.9</v>
      </c>
      <c r="K8" s="8" t="n">
        <v>6.7</v>
      </c>
      <c r="L8" s="8" t="n">
        <v>0.1</v>
      </c>
      <c r="M8" s="8" t="n">
        <v>-1.8</v>
      </c>
      <c r="N8" s="9">
        <f>AVERAGE(B8:M8)</f>
        <v/>
      </c>
    </row>
    <row r="9">
      <c r="A9" s="7" t="inlineStr">
        <is>
          <t>Apsolutni maksimum</t>
        </is>
      </c>
      <c r="B9" s="8" t="n">
        <v>11.2</v>
      </c>
      <c r="C9" s="8" t="n">
        <v>18.2</v>
      </c>
      <c r="D9" s="8" t="n">
        <v>20.6</v>
      </c>
      <c r="E9" s="8" t="n">
        <v>25.4</v>
      </c>
      <c r="F9" s="8" t="n">
        <v>28.8</v>
      </c>
      <c r="G9" s="8" t="n">
        <v>30.5</v>
      </c>
      <c r="H9" s="8" t="n">
        <v>32.9</v>
      </c>
      <c r="I9" s="8" t="n">
        <v>32</v>
      </c>
      <c r="J9" s="8" t="n">
        <v>29</v>
      </c>
      <c r="K9" s="8" t="n">
        <v>22.8</v>
      </c>
      <c r="L9" s="8" t="n">
        <v>18.2</v>
      </c>
      <c r="M9" s="8" t="n">
        <v>16.6</v>
      </c>
      <c r="N9" s="9">
        <f>MAX(B9:M9)</f>
        <v/>
      </c>
    </row>
    <row r="10">
      <c r="A10" s="7" t="inlineStr">
        <is>
          <t>Apsolutni minimum</t>
        </is>
      </c>
      <c r="B10" s="8" t="n">
        <v>-17.6</v>
      </c>
      <c r="C10" s="8" t="n">
        <v>-5.8</v>
      </c>
      <c r="D10" s="8" t="n">
        <v>-2.9</v>
      </c>
      <c r="E10" s="8" t="n">
        <v>-7</v>
      </c>
      <c r="F10" s="8" t="n">
        <v>3.3</v>
      </c>
      <c r="G10" s="8" t="n">
        <v>11.7</v>
      </c>
      <c r="H10" s="8" t="n">
        <v>15.2</v>
      </c>
      <c r="I10" s="8" t="n">
        <v>9.199999999999999</v>
      </c>
      <c r="J10" s="8" t="n">
        <v>5.4</v>
      </c>
      <c r="K10" s="8" t="n">
        <v>0.6</v>
      </c>
      <c r="L10" s="8" t="n">
        <v>-6.7</v>
      </c>
      <c r="M10" s="8" t="n">
        <v>-7.1</v>
      </c>
      <c r="N10" s="9">
        <f>MIN(B10:M10)</f>
        <v/>
      </c>
    </row>
    <row r="11">
      <c r="A11" s="7" t="inlineStr">
        <is>
          <t>Sr. br. mraznih dana</t>
        </is>
      </c>
      <c r="B11" s="10" t="n">
        <v>30</v>
      </c>
      <c r="C11" s="10" t="n">
        <v>13</v>
      </c>
      <c r="D11" s="10" t="n">
        <v>11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17</v>
      </c>
      <c r="M11" s="10" t="n">
        <v>22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</v>
      </c>
      <c r="H12" s="10" t="n">
        <v>13</v>
      </c>
      <c r="I12" s="10" t="n">
        <v>1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85.90000000000001</v>
      </c>
      <c r="C14" s="8" t="n">
        <v>77.3</v>
      </c>
      <c r="D14" s="8" t="n">
        <v>73.7</v>
      </c>
      <c r="E14" s="8" t="n">
        <v>70.7</v>
      </c>
      <c r="F14" s="8" t="n">
        <v>73.2</v>
      </c>
      <c r="G14" s="8" t="n">
        <v>75.7</v>
      </c>
      <c r="H14" s="8" t="n">
        <v>64.5</v>
      </c>
      <c r="I14" s="8" t="n">
        <v>71.5</v>
      </c>
      <c r="J14" s="8" t="n">
        <v>74</v>
      </c>
      <c r="K14" s="8" t="n">
        <v>73.8</v>
      </c>
      <c r="L14" s="8" t="n">
        <v>81.2</v>
      </c>
      <c r="M14" s="8" t="n">
        <v>84.59999999999999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174.6</v>
      </c>
      <c r="C16" s="8" t="n">
        <v>222.1</v>
      </c>
      <c r="D16" s="8" t="n">
        <v>280.9</v>
      </c>
      <c r="E16" s="8" t="n">
        <v>320.1</v>
      </c>
      <c r="F16" s="8" t="n">
        <v>312.8</v>
      </c>
      <c r="G16" s="8" t="n">
        <v>382.8</v>
      </c>
      <c r="H16" s="8" t="n">
        <v>392.2</v>
      </c>
      <c r="I16" s="8" t="n">
        <v>309.8</v>
      </c>
      <c r="J16" s="8" t="n">
        <v>305.9</v>
      </c>
      <c r="K16" s="8" t="n">
        <v>305.1</v>
      </c>
      <c r="L16" s="8" t="n">
        <v>176.8</v>
      </c>
      <c r="M16" s="8" t="n">
        <v>129.1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6</v>
      </c>
      <c r="D17" s="10" t="n">
        <v>1</v>
      </c>
      <c r="E17" s="10" t="n">
        <v>5</v>
      </c>
      <c r="F17" s="10" t="n">
        <v>1</v>
      </c>
      <c r="G17" s="10" t="n">
        <v>1</v>
      </c>
      <c r="H17" s="10" t="n">
        <v>6</v>
      </c>
      <c r="I17" s="10" t="n">
        <v>5</v>
      </c>
      <c r="J17" s="10" t="n">
        <v>4</v>
      </c>
      <c r="K17" s="10" t="n">
        <v>13</v>
      </c>
      <c r="L17" s="10" t="n">
        <v>3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6</v>
      </c>
      <c r="D18" s="10" t="n">
        <v>8</v>
      </c>
      <c r="E18" s="10" t="n">
        <v>9</v>
      </c>
      <c r="F18" s="10" t="n">
        <v>8</v>
      </c>
      <c r="G18" s="10" t="n">
        <v>1</v>
      </c>
      <c r="H18" s="10" t="n">
        <v>4</v>
      </c>
      <c r="I18" s="10" t="n">
        <v>10</v>
      </c>
      <c r="J18" s="10" t="n">
        <v>3</v>
      </c>
      <c r="K18" s="10" t="n">
        <v>2</v>
      </c>
      <c r="L18" s="10" t="n">
        <v>15</v>
      </c>
      <c r="M18" s="10" t="n">
        <v>17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119</v>
      </c>
      <c r="C20" s="8" t="n">
        <v>34.9</v>
      </c>
      <c r="D20" s="8" t="n">
        <v>83</v>
      </c>
      <c r="E20" s="8" t="n">
        <v>76.8</v>
      </c>
      <c r="F20" s="8" t="n">
        <v>67.59999999999999</v>
      </c>
      <c r="G20" s="8" t="n">
        <v>84.8</v>
      </c>
      <c r="H20" s="8" t="n">
        <v>66.8</v>
      </c>
      <c r="I20" s="8" t="n">
        <v>97</v>
      </c>
      <c r="J20" s="8" t="n">
        <v>57.8</v>
      </c>
      <c r="K20" s="8" t="n">
        <v>3.6</v>
      </c>
      <c r="L20" s="8" t="n">
        <v>80.2</v>
      </c>
      <c r="M20" s="8" t="n">
        <v>97.40000000000001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24.7</v>
      </c>
      <c r="C21" s="8" t="n">
        <v>13.8</v>
      </c>
      <c r="D21" s="8" t="n">
        <v>19.3</v>
      </c>
      <c r="E21" s="8" t="n">
        <v>14.4</v>
      </c>
      <c r="F21" s="8" t="n">
        <v>10.7</v>
      </c>
      <c r="G21" s="8" t="n">
        <v>18.4</v>
      </c>
      <c r="H21" s="8" t="n">
        <v>25.6</v>
      </c>
      <c r="I21" s="8" t="n">
        <v>22.2</v>
      </c>
      <c r="J21" s="8" t="n">
        <v>14.6</v>
      </c>
      <c r="K21" s="8" t="n">
        <v>2.1</v>
      </c>
      <c r="L21" s="8" t="n">
        <v>16.9</v>
      </c>
      <c r="M21" s="8" t="n">
        <v>20.2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14</v>
      </c>
      <c r="D22" s="10" t="n">
        <v>22</v>
      </c>
      <c r="E22" s="10" t="n">
        <v>17</v>
      </c>
      <c r="F22" s="10" t="n">
        <v>22</v>
      </c>
      <c r="G22" s="10" t="n">
        <v>25</v>
      </c>
      <c r="H22" s="10" t="n">
        <v>17</v>
      </c>
      <c r="I22" s="10" t="n">
        <v>24</v>
      </c>
      <c r="J22" s="10" t="n">
        <v>17</v>
      </c>
      <c r="K22" s="10" t="n">
        <v>4</v>
      </c>
      <c r="L22" s="10" t="n">
        <v>19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1</v>
      </c>
      <c r="D23" s="10" t="n">
        <v>2</v>
      </c>
      <c r="E23" s="10" t="n">
        <v>2</v>
      </c>
      <c r="F23" s="10" t="n">
        <v>1</v>
      </c>
      <c r="G23" s="10" t="n">
        <v>1</v>
      </c>
      <c r="H23" s="10" t="n">
        <v>2</v>
      </c>
      <c r="I23" s="10" t="n">
        <v>3</v>
      </c>
      <c r="J23" s="10" t="n">
        <v>2</v>
      </c>
      <c r="K23" s="10" t="n">
        <v>0</v>
      </c>
      <c r="L23" s="10" t="n">
        <v>2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19</v>
      </c>
      <c r="C25" s="10" t="n">
        <v>5</v>
      </c>
      <c r="D25" s="10" t="n">
        <v>12</v>
      </c>
      <c r="E25" s="10" t="n">
        <v>6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13</v>
      </c>
      <c r="M25" s="10" t="n">
        <v>13</v>
      </c>
      <c r="N25" s="11">
        <f>SUM(B25:M25)</f>
        <v/>
      </c>
    </row>
    <row r="26">
      <c r="A26" s="7" t="inlineStr">
        <is>
          <t>snežnim pokrivačem</t>
        </is>
      </c>
      <c r="B26" s="10" t="n">
        <v>19</v>
      </c>
      <c r="C26" s="10" t="n">
        <v>5</v>
      </c>
      <c r="D26" s="10" t="n">
        <v>12</v>
      </c>
      <c r="E26" s="10" t="n">
        <v>6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13</v>
      </c>
      <c r="M26" s="10" t="n">
        <v>13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1996.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-0.3</v>
      </c>
      <c r="C6" s="8" t="n">
        <v>-1.4</v>
      </c>
      <c r="D6" s="8" t="n">
        <v>2</v>
      </c>
      <c r="E6" s="8" t="n">
        <v>11</v>
      </c>
      <c r="F6" s="8" t="n">
        <v>17.6</v>
      </c>
      <c r="G6" s="8" t="n">
        <v>21</v>
      </c>
      <c r="H6" s="8" t="n">
        <v>21.7</v>
      </c>
      <c r="I6" s="8" t="n">
        <v>22</v>
      </c>
      <c r="J6" s="8" t="n">
        <v>14.1</v>
      </c>
      <c r="K6" s="8" t="n">
        <v>11.4</v>
      </c>
      <c r="L6" s="8" t="n">
        <v>8.1</v>
      </c>
      <c r="M6" s="8" t="n">
        <v>0.8</v>
      </c>
      <c r="N6" s="9">
        <f>AVERAGE(B6:M6)</f>
        <v/>
      </c>
    </row>
    <row r="7">
      <c r="A7" s="7" t="inlineStr">
        <is>
          <t>Srednja maksimalna</t>
        </is>
      </c>
      <c r="B7" s="8" t="n">
        <v>3.2</v>
      </c>
      <c r="C7" s="8" t="n">
        <v>3.1</v>
      </c>
      <c r="D7" s="8" t="n">
        <v>6</v>
      </c>
      <c r="E7" s="8" t="n">
        <v>15.9</v>
      </c>
      <c r="F7" s="8" t="n">
        <v>22.9</v>
      </c>
      <c r="G7" s="8" t="n">
        <v>26</v>
      </c>
      <c r="H7" s="8" t="n">
        <v>27.3</v>
      </c>
      <c r="I7" s="8" t="n">
        <v>26.9</v>
      </c>
      <c r="J7" s="8" t="n">
        <v>18.2</v>
      </c>
      <c r="K7" s="8" t="n">
        <v>15.5</v>
      </c>
      <c r="L7" s="8" t="n">
        <v>13.6</v>
      </c>
      <c r="M7" s="8" t="n">
        <v>4.9</v>
      </c>
      <c r="N7" s="9">
        <f>AVERAGE(B7:M7)</f>
        <v/>
      </c>
    </row>
    <row r="8">
      <c r="A8" s="7" t="inlineStr">
        <is>
          <t>Srednja minimalna</t>
        </is>
      </c>
      <c r="B8" s="8" t="n">
        <v>-2.8</v>
      </c>
      <c r="C8" s="8" t="n">
        <v>-5.2</v>
      </c>
      <c r="D8" s="8" t="n">
        <v>-1.8</v>
      </c>
      <c r="E8" s="8" t="n">
        <v>5.5</v>
      </c>
      <c r="F8" s="8" t="n">
        <v>11.9</v>
      </c>
      <c r="G8" s="8" t="n">
        <v>15.1</v>
      </c>
      <c r="H8" s="8" t="n">
        <v>15.5</v>
      </c>
      <c r="I8" s="8" t="n">
        <v>17.2</v>
      </c>
      <c r="J8" s="8" t="n">
        <v>10.5</v>
      </c>
      <c r="K8" s="8" t="n">
        <v>7.7</v>
      </c>
      <c r="L8" s="8" t="n">
        <v>3.7</v>
      </c>
      <c r="M8" s="8" t="n">
        <v>-2.6</v>
      </c>
      <c r="N8" s="9">
        <f>AVERAGE(B8:M8)</f>
        <v/>
      </c>
    </row>
    <row r="9">
      <c r="A9" s="7" t="inlineStr">
        <is>
          <t>Apsolutni maksimum</t>
        </is>
      </c>
      <c r="B9" s="8" t="n">
        <v>8.1</v>
      </c>
      <c r="C9" s="8" t="n">
        <v>13.1</v>
      </c>
      <c r="D9" s="8" t="n">
        <v>12.4</v>
      </c>
      <c r="E9" s="8" t="n">
        <v>24.8</v>
      </c>
      <c r="F9" s="8" t="n">
        <v>31.4</v>
      </c>
      <c r="G9" s="8" t="n">
        <v>33.4</v>
      </c>
      <c r="H9" s="8" t="n">
        <v>38.4</v>
      </c>
      <c r="I9" s="8" t="n">
        <v>33.8</v>
      </c>
      <c r="J9" s="8" t="n">
        <v>24.9</v>
      </c>
      <c r="K9" s="8" t="n">
        <v>21.4</v>
      </c>
      <c r="L9" s="8" t="n">
        <v>20.8</v>
      </c>
      <c r="M9" s="8" t="n">
        <v>12.2</v>
      </c>
      <c r="N9" s="9">
        <f>MAX(B9:M9)</f>
        <v/>
      </c>
    </row>
    <row r="10">
      <c r="A10" s="7" t="inlineStr">
        <is>
          <t>Apsolutni minimum</t>
        </is>
      </c>
      <c r="B10" s="8" t="n">
        <v>-7.2</v>
      </c>
      <c r="C10" s="8" t="n">
        <v>-11.7</v>
      </c>
      <c r="D10" s="8" t="n">
        <v>-8.4</v>
      </c>
      <c r="E10" s="8" t="n">
        <v>-1.1</v>
      </c>
      <c r="F10" s="8" t="n">
        <v>7.3</v>
      </c>
      <c r="G10" s="8" t="n">
        <v>10.1</v>
      </c>
      <c r="H10" s="8" t="n">
        <v>11.2</v>
      </c>
      <c r="I10" s="8" t="n">
        <v>13.7</v>
      </c>
      <c r="J10" s="8" t="n">
        <v>5.3</v>
      </c>
      <c r="K10" s="8" t="n">
        <v>0.2</v>
      </c>
      <c r="L10" s="8" t="n">
        <v>-3.2</v>
      </c>
      <c r="M10" s="8" t="n">
        <v>-19.4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27</v>
      </c>
      <c r="D11" s="10" t="n">
        <v>23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7</v>
      </c>
      <c r="H12" s="10" t="n">
        <v>11</v>
      </c>
      <c r="I12" s="10" t="n">
        <v>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78.3</v>
      </c>
      <c r="C14" s="8" t="n">
        <v>79.2</v>
      </c>
      <c r="D14" s="8" t="n">
        <v>74.7</v>
      </c>
      <c r="E14" s="8" t="n">
        <v>73.09999999999999</v>
      </c>
      <c r="F14" s="8" t="n">
        <v>74.40000000000001</v>
      </c>
      <c r="G14" s="8" t="n">
        <v>67.90000000000001</v>
      </c>
      <c r="H14" s="8" t="n">
        <v>60.3</v>
      </c>
      <c r="I14" s="8" t="n">
        <v>67.3</v>
      </c>
      <c r="J14" s="8" t="n">
        <v>79.09999999999999</v>
      </c>
      <c r="K14" s="8" t="n">
        <v>80.90000000000001</v>
      </c>
      <c r="L14" s="8" t="n">
        <v>82</v>
      </c>
      <c r="M14" s="8" t="n">
        <v>88.5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170.7</v>
      </c>
      <c r="C16" s="8" t="n">
        <v>191.7</v>
      </c>
      <c r="D16" s="8" t="n">
        <v>226.1</v>
      </c>
      <c r="E16" s="8" t="n">
        <v>292.2</v>
      </c>
      <c r="F16" s="8" t="n">
        <v>331.8</v>
      </c>
      <c r="G16" s="8" t="n">
        <v>403.5</v>
      </c>
      <c r="H16" s="8" t="n">
        <v>401.4</v>
      </c>
      <c r="I16" s="8" t="n">
        <v>353.9</v>
      </c>
      <c r="J16" s="8" t="n">
        <v>212</v>
      </c>
      <c r="K16" s="8" t="n">
        <v>212.6</v>
      </c>
      <c r="L16" s="8" t="n">
        <v>200.1</v>
      </c>
      <c r="M16" s="8" t="n">
        <v>149.9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6</v>
      </c>
      <c r="D17" s="10" t="n">
        <v>0</v>
      </c>
      <c r="E17" s="10" t="n">
        <v>2</v>
      </c>
      <c r="F17" s="10" t="n">
        <v>2</v>
      </c>
      <c r="G17" s="10" t="n">
        <v>7</v>
      </c>
      <c r="H17" s="10" t="n">
        <v>8</v>
      </c>
      <c r="I17" s="10" t="n">
        <v>5</v>
      </c>
      <c r="J17" s="10" t="n">
        <v>0</v>
      </c>
      <c r="K17" s="10" t="n">
        <v>1</v>
      </c>
      <c r="L17" s="10" t="n">
        <v>6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18</v>
      </c>
      <c r="C18" s="10" t="n">
        <v>13</v>
      </c>
      <c r="D18" s="10" t="n">
        <v>13</v>
      </c>
      <c r="E18" s="10" t="n">
        <v>11</v>
      </c>
      <c r="F18" s="10" t="n">
        <v>11</v>
      </c>
      <c r="G18" s="10" t="n">
        <v>4</v>
      </c>
      <c r="H18" s="10" t="n">
        <v>3</v>
      </c>
      <c r="I18" s="10" t="n">
        <v>3</v>
      </c>
      <c r="J18" s="10" t="n">
        <v>14</v>
      </c>
      <c r="K18" s="10" t="n">
        <v>14</v>
      </c>
      <c r="L18" s="10" t="n">
        <v>10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36.8</v>
      </c>
      <c r="C20" s="8" t="n">
        <v>57.8</v>
      </c>
      <c r="D20" s="8" t="n">
        <v>74.90000000000001</v>
      </c>
      <c r="E20" s="8" t="n">
        <v>85.09999999999999</v>
      </c>
      <c r="F20" s="8" t="n">
        <v>109.5</v>
      </c>
      <c r="G20" s="8" t="n">
        <v>41.4</v>
      </c>
      <c r="H20" s="8" t="n">
        <v>36</v>
      </c>
      <c r="I20" s="8" t="n">
        <v>75</v>
      </c>
      <c r="J20" s="8" t="n">
        <v>158.5</v>
      </c>
      <c r="K20" s="8" t="n">
        <v>69.5</v>
      </c>
      <c r="L20" s="8" t="n">
        <v>53.7</v>
      </c>
      <c r="M20" s="8" t="n">
        <v>108</v>
      </c>
      <c r="N20" s="9">
        <f>SUM(B20:M20)</f>
        <v/>
      </c>
    </row>
    <row r="21">
      <c r="A21" s="7" t="inlineStr">
        <is>
          <t>Max. dnevna suma</t>
        </is>
      </c>
      <c r="B21" s="8" t="n">
        <v>9.9</v>
      </c>
      <c r="C21" s="8" t="n">
        <v>12.1</v>
      </c>
      <c r="D21" s="8" t="n">
        <v>14.6</v>
      </c>
      <c r="E21" s="8" t="n">
        <v>14.9</v>
      </c>
      <c r="F21" s="8" t="n">
        <v>18.1</v>
      </c>
      <c r="G21" s="8" t="n">
        <v>10.6</v>
      </c>
      <c r="H21" s="8" t="n">
        <v>20.4</v>
      </c>
      <c r="I21" s="8" t="n">
        <v>12</v>
      </c>
      <c r="J21" s="8" t="n">
        <v>21.8</v>
      </c>
      <c r="K21" s="8" t="n">
        <v>16.4</v>
      </c>
      <c r="L21" s="8" t="n">
        <v>9.5</v>
      </c>
      <c r="M21" s="8" t="n">
        <v>21.3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20</v>
      </c>
      <c r="D22" s="10" t="n">
        <v>22</v>
      </c>
      <c r="E22" s="10" t="n">
        <v>23</v>
      </c>
      <c r="F22" s="10" t="n">
        <v>22</v>
      </c>
      <c r="G22" s="10" t="n">
        <v>16</v>
      </c>
      <c r="H22" s="10" t="n">
        <v>15</v>
      </c>
      <c r="I22" s="10" t="n">
        <v>26</v>
      </c>
      <c r="J22" s="10" t="n">
        <v>26</v>
      </c>
      <c r="K22" s="10" t="n">
        <v>18</v>
      </c>
      <c r="L22" s="10" t="n">
        <v>13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1</v>
      </c>
      <c r="D23" s="10" t="n">
        <v>3</v>
      </c>
      <c r="E23" s="10" t="n">
        <v>4</v>
      </c>
      <c r="F23" s="10" t="n">
        <v>5</v>
      </c>
      <c r="G23" s="10" t="n">
        <v>2</v>
      </c>
      <c r="H23" s="10" t="n">
        <v>1</v>
      </c>
      <c r="I23" s="10" t="n">
        <v>1</v>
      </c>
      <c r="J23" s="10" t="n">
        <v>8</v>
      </c>
      <c r="K23" s="10" t="n">
        <v>1</v>
      </c>
      <c r="L23" s="10" t="n">
        <v>0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11</v>
      </c>
      <c r="C25" s="10" t="n">
        <v>18</v>
      </c>
      <c r="D25" s="10" t="n">
        <v>15</v>
      </c>
      <c r="E25" s="10" t="n">
        <v>5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4</v>
      </c>
      <c r="M25" s="10" t="n">
        <v>12</v>
      </c>
      <c r="N25" s="11">
        <f>SUM(B25:M25)</f>
        <v/>
      </c>
    </row>
    <row r="26">
      <c r="A26" s="7" t="inlineStr">
        <is>
          <t>snežnim pokrivačem</t>
        </is>
      </c>
      <c r="B26" s="10" t="n">
        <v>11</v>
      </c>
      <c r="C26" s="10" t="n">
        <v>18</v>
      </c>
      <c r="D26" s="10" t="n">
        <v>15</v>
      </c>
      <c r="E26" s="10" t="n">
        <v>5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4</v>
      </c>
      <c r="M26" s="10" t="n">
        <v>12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1997.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0.6</v>
      </c>
      <c r="C6" s="8" t="n">
        <v>3.6</v>
      </c>
      <c r="D6" s="8" t="n">
        <v>5.3</v>
      </c>
      <c r="E6" s="8" t="n">
        <v>6.6</v>
      </c>
      <c r="F6" s="8" t="n">
        <v>17</v>
      </c>
      <c r="G6" s="8" t="n">
        <v>20.7</v>
      </c>
      <c r="H6" s="8" t="n">
        <v>21.2</v>
      </c>
      <c r="I6" s="8" t="n">
        <v>20</v>
      </c>
      <c r="J6" s="8" t="n">
        <v>16.4</v>
      </c>
      <c r="K6" s="8" t="n">
        <v>9.199999999999999</v>
      </c>
      <c r="L6" s="8" t="n">
        <v>6.7</v>
      </c>
      <c r="M6" s="8" t="n">
        <v>2.1</v>
      </c>
      <c r="N6" s="9">
        <f>AVERAGE(B6:M6)</f>
        <v/>
      </c>
    </row>
    <row r="7">
      <c r="A7" s="7" t="inlineStr">
        <is>
          <t>Srednja maksimalna</t>
        </is>
      </c>
      <c r="B7" s="8" t="n">
        <v>4.7</v>
      </c>
      <c r="C7" s="8" t="n">
        <v>9</v>
      </c>
      <c r="D7" s="8" t="n">
        <v>10.1</v>
      </c>
      <c r="E7" s="8" t="n">
        <v>11.4</v>
      </c>
      <c r="F7" s="8" t="n">
        <v>22.6</v>
      </c>
      <c r="G7" s="8" t="n">
        <v>26.3</v>
      </c>
      <c r="H7" s="8" t="n">
        <v>25.8</v>
      </c>
      <c r="I7" s="8" t="n">
        <v>24.4</v>
      </c>
      <c r="J7" s="8" t="n">
        <v>21.5</v>
      </c>
      <c r="K7" s="8" t="n">
        <v>14.1</v>
      </c>
      <c r="L7" s="8" t="n">
        <v>11.4</v>
      </c>
      <c r="M7" s="8" t="n">
        <v>5.7</v>
      </c>
      <c r="N7" s="9">
        <f>AVERAGE(B7:M7)</f>
        <v/>
      </c>
    </row>
    <row r="8">
      <c r="A8" s="7" t="inlineStr">
        <is>
          <t>Srednja minimalna</t>
        </is>
      </c>
      <c r="B8" s="8" t="n">
        <v>-2.6</v>
      </c>
      <c r="C8" s="8" t="n">
        <v>-1</v>
      </c>
      <c r="D8" s="8" t="n">
        <v>0.6</v>
      </c>
      <c r="E8" s="8" t="n">
        <v>1.7</v>
      </c>
      <c r="F8" s="8" t="n">
        <v>11</v>
      </c>
      <c r="G8" s="8" t="n">
        <v>14.4</v>
      </c>
      <c r="H8" s="8" t="n">
        <v>16.4</v>
      </c>
      <c r="I8" s="8" t="n">
        <v>15.4</v>
      </c>
      <c r="J8" s="8" t="n">
        <v>11.3</v>
      </c>
      <c r="K8" s="8" t="n">
        <v>4.5</v>
      </c>
      <c r="L8" s="8" t="n">
        <v>3.1</v>
      </c>
      <c r="M8" s="8" t="n">
        <v>-0.9</v>
      </c>
      <c r="N8" s="9">
        <f>AVERAGE(B8:M8)</f>
        <v/>
      </c>
    </row>
    <row r="9">
      <c r="A9" s="7" t="inlineStr">
        <is>
          <t>Apsolutni maksimum</t>
        </is>
      </c>
      <c r="B9" s="8" t="n">
        <v>11.1</v>
      </c>
      <c r="C9" s="8" t="n">
        <v>19</v>
      </c>
      <c r="D9" s="8" t="n">
        <v>21.1</v>
      </c>
      <c r="E9" s="8" t="n">
        <v>18.9</v>
      </c>
      <c r="F9" s="8" t="n">
        <v>30.1</v>
      </c>
      <c r="G9" s="8" t="n">
        <v>34</v>
      </c>
      <c r="H9" s="8" t="n">
        <v>37.1</v>
      </c>
      <c r="I9" s="8" t="n">
        <v>30.1</v>
      </c>
      <c r="J9" s="8" t="n">
        <v>29.4</v>
      </c>
      <c r="K9" s="8" t="n">
        <v>27.2</v>
      </c>
      <c r="L9" s="8" t="n">
        <v>19.5</v>
      </c>
      <c r="M9" s="8" t="n">
        <v>11.1</v>
      </c>
      <c r="N9" s="9">
        <f>MAX(B9:M9)</f>
        <v/>
      </c>
    </row>
    <row r="10">
      <c r="A10" s="7" t="inlineStr">
        <is>
          <t>Apsolutni minimum</t>
        </is>
      </c>
      <c r="B10" s="8" t="n">
        <v>-6.3</v>
      </c>
      <c r="C10" s="8" t="n">
        <v>-5.4</v>
      </c>
      <c r="D10" s="8" t="n">
        <v>-2.7</v>
      </c>
      <c r="E10" s="8" t="n">
        <v>-2.6</v>
      </c>
      <c r="F10" s="8" t="n">
        <v>5.6</v>
      </c>
      <c r="G10" s="8" t="n">
        <v>6.3</v>
      </c>
      <c r="H10" s="8" t="n">
        <v>13.7</v>
      </c>
      <c r="I10" s="8" t="n">
        <v>11.8</v>
      </c>
      <c r="J10" s="8" t="n">
        <v>6.4</v>
      </c>
      <c r="K10" s="8" t="n">
        <v>-3.4</v>
      </c>
      <c r="L10" s="8" t="n">
        <v>-2.6</v>
      </c>
      <c r="M10" s="8" t="n">
        <v>-13.3</v>
      </c>
      <c r="N10" s="9">
        <f>MIN(B10:M10)</f>
        <v/>
      </c>
    </row>
    <row r="11">
      <c r="A11" s="7" t="inlineStr">
        <is>
          <t>Sr. br. mraznih dana</t>
        </is>
      </c>
      <c r="B11" s="10" t="n">
        <v>29</v>
      </c>
      <c r="C11" s="10" t="n">
        <v>20</v>
      </c>
      <c r="D11" s="10" t="n">
        <v>13</v>
      </c>
      <c r="E11" s="10" t="n">
        <v>6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5</v>
      </c>
      <c r="L11" s="10" t="n">
        <v>8</v>
      </c>
      <c r="M11" s="10" t="n">
        <v>15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7</v>
      </c>
      <c r="H12" s="10" t="n">
        <v>3</v>
      </c>
      <c r="I12" s="10" t="n">
        <v>1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84.2</v>
      </c>
      <c r="C14" s="8" t="n">
        <v>73.2</v>
      </c>
      <c r="D14" s="8" t="n">
        <v>71.7</v>
      </c>
      <c r="E14" s="8" t="n">
        <v>71.40000000000001</v>
      </c>
      <c r="F14" s="8" t="n">
        <v>67.3</v>
      </c>
      <c r="G14" s="8" t="n">
        <v>71</v>
      </c>
      <c r="H14" s="8" t="n">
        <v>69.59999999999999</v>
      </c>
      <c r="I14" s="8" t="n">
        <v>75.3</v>
      </c>
      <c r="J14" s="8" t="n">
        <v>69.8</v>
      </c>
      <c r="K14" s="8" t="n">
        <v>75.09999999999999</v>
      </c>
      <c r="L14" s="8" t="n">
        <v>82.8</v>
      </c>
      <c r="M14" s="8" t="n">
        <v>85.59999999999999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190.5</v>
      </c>
      <c r="C16" s="8" t="n">
        <v>228.7</v>
      </c>
      <c r="D16" s="8" t="n">
        <v>273.1</v>
      </c>
      <c r="E16" s="8" t="n">
        <v>260.6</v>
      </c>
      <c r="F16" s="8" t="n">
        <v>368.9</v>
      </c>
      <c r="G16" s="8" t="n">
        <v>396.6</v>
      </c>
      <c r="H16" s="8" t="n">
        <v>364.1</v>
      </c>
      <c r="I16" s="8" t="n">
        <v>324</v>
      </c>
      <c r="J16" s="8" t="n">
        <v>308.4</v>
      </c>
      <c r="K16" s="8" t="n">
        <v>215.2</v>
      </c>
      <c r="L16" s="8" t="n">
        <v>199.4</v>
      </c>
      <c r="M16" s="8" t="n">
        <v>121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7</v>
      </c>
      <c r="D17" s="10" t="n">
        <v>5</v>
      </c>
      <c r="E17" s="10" t="n">
        <v>1</v>
      </c>
      <c r="F17" s="10" t="n">
        <v>5</v>
      </c>
      <c r="G17" s="10" t="n">
        <v>3</v>
      </c>
      <c r="H17" s="10" t="n">
        <v>4</v>
      </c>
      <c r="I17" s="10" t="n">
        <v>5</v>
      </c>
      <c r="J17" s="10" t="n">
        <v>10</v>
      </c>
      <c r="K17" s="10" t="n">
        <v>4</v>
      </c>
      <c r="L17" s="10" t="n">
        <v>4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7</v>
      </c>
      <c r="D18" s="10" t="n">
        <v>6</v>
      </c>
      <c r="E18" s="10" t="n">
        <v>12</v>
      </c>
      <c r="F18" s="10" t="n">
        <v>5</v>
      </c>
      <c r="G18" s="10" t="n">
        <v>3</v>
      </c>
      <c r="H18" s="10" t="n">
        <v>7</v>
      </c>
      <c r="I18" s="10" t="n">
        <v>8</v>
      </c>
      <c r="J18" s="10" t="n">
        <v>3</v>
      </c>
      <c r="K18" s="10" t="n">
        <v>12</v>
      </c>
      <c r="L18" s="10" t="n">
        <v>11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12.3</v>
      </c>
      <c r="C20" s="8" t="n">
        <v>32.6</v>
      </c>
      <c r="D20" s="8" t="n">
        <v>86.90000000000001</v>
      </c>
      <c r="E20" s="8" t="n">
        <v>89.90000000000001</v>
      </c>
      <c r="F20" s="8" t="n">
        <v>89.8</v>
      </c>
      <c r="G20" s="8" t="n">
        <v>43.7</v>
      </c>
      <c r="H20" s="8" t="n">
        <v>75.5</v>
      </c>
      <c r="I20" s="8" t="n">
        <v>129.7</v>
      </c>
      <c r="J20" s="8" t="n">
        <v>4.9</v>
      </c>
      <c r="K20" s="8" t="n">
        <v>88.3</v>
      </c>
      <c r="L20" s="8" t="n">
        <v>21.4</v>
      </c>
      <c r="M20" s="8" t="n">
        <v>70.09999999999999</v>
      </c>
      <c r="N20" s="9">
        <f>SUM(B20:M20)</f>
        <v/>
      </c>
    </row>
    <row r="21">
      <c r="A21" s="7" t="inlineStr">
        <is>
          <t>Max. dnevna suma</t>
        </is>
      </c>
      <c r="B21" s="8" t="n">
        <v>3.2</v>
      </c>
      <c r="C21" s="8" t="n">
        <v>9.4</v>
      </c>
      <c r="D21" s="8" t="n">
        <v>23.4</v>
      </c>
      <c r="E21" s="8" t="n">
        <v>16.5</v>
      </c>
      <c r="F21" s="8" t="n">
        <v>24</v>
      </c>
      <c r="G21" s="8" t="n">
        <v>9.9</v>
      </c>
      <c r="H21" s="8" t="n">
        <v>14.7</v>
      </c>
      <c r="I21" s="8" t="n">
        <v>41.4</v>
      </c>
      <c r="J21" s="8" t="n">
        <v>3.3</v>
      </c>
      <c r="K21" s="8" t="n">
        <v>19.2</v>
      </c>
      <c r="L21" s="8" t="n">
        <v>7</v>
      </c>
      <c r="M21" s="8" t="n">
        <v>12.4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11</v>
      </c>
      <c r="D22" s="10" t="n">
        <v>17</v>
      </c>
      <c r="E22" s="10" t="n">
        <v>23</v>
      </c>
      <c r="F22" s="10" t="n">
        <v>21</v>
      </c>
      <c r="G22" s="10" t="n">
        <v>18</v>
      </c>
      <c r="H22" s="10" t="n">
        <v>24</v>
      </c>
      <c r="I22" s="10" t="n">
        <v>21</v>
      </c>
      <c r="J22" s="10" t="n">
        <v>6</v>
      </c>
      <c r="K22" s="10" t="n">
        <v>14</v>
      </c>
      <c r="L22" s="10" t="n">
        <v>13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0</v>
      </c>
      <c r="D23" s="10" t="n">
        <v>3</v>
      </c>
      <c r="E23" s="10" t="n">
        <v>2</v>
      </c>
      <c r="F23" s="10" t="n">
        <v>3</v>
      </c>
      <c r="G23" s="10" t="n">
        <v>0</v>
      </c>
      <c r="H23" s="10" t="n">
        <v>2</v>
      </c>
      <c r="I23" s="10" t="n">
        <v>3</v>
      </c>
      <c r="J23" s="10" t="n">
        <v>0</v>
      </c>
      <c r="K23" s="10" t="n">
        <v>3</v>
      </c>
      <c r="L23" s="10" t="n">
        <v>0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11</v>
      </c>
      <c r="D25" s="10" t="n">
        <v>12</v>
      </c>
      <c r="E25" s="10" t="n">
        <v>14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3</v>
      </c>
      <c r="L25" s="10" t="n">
        <v>3</v>
      </c>
      <c r="M25" s="10" t="n">
        <v>9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11</v>
      </c>
      <c r="D26" s="10" t="n">
        <v>12</v>
      </c>
      <c r="E26" s="10" t="n">
        <v>14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3</v>
      </c>
      <c r="L26" s="10" t="n">
        <v>3</v>
      </c>
      <c r="M26" s="10" t="n">
        <v>9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1998.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2.6</v>
      </c>
      <c r="C6" s="8" t="n">
        <v>3.8</v>
      </c>
      <c r="D6" s="8" t="n">
        <v>4.2</v>
      </c>
      <c r="E6" s="8" t="n">
        <v>13.1</v>
      </c>
      <c r="F6" s="8" t="n">
        <v>15.9</v>
      </c>
      <c r="G6" s="8" t="n">
        <v>21.6</v>
      </c>
      <c r="H6" s="8" t="n">
        <v>23.4</v>
      </c>
      <c r="I6" s="8" t="n">
        <v>23.6</v>
      </c>
      <c r="J6" s="8" t="n">
        <v>16.6</v>
      </c>
      <c r="K6" s="8" t="n">
        <v>12.7</v>
      </c>
      <c r="L6" s="8" t="n">
        <v>3.4</v>
      </c>
      <c r="M6" s="8" t="n">
        <v>-3.4</v>
      </c>
      <c r="N6" s="9">
        <f>AVERAGE(B6:M6)</f>
        <v/>
      </c>
    </row>
    <row r="7">
      <c r="A7" s="7" t="inlineStr">
        <is>
          <t>Srednja maksimalna</t>
        </is>
      </c>
      <c r="B7" s="8" t="n">
        <v>7.7</v>
      </c>
      <c r="C7" s="8" t="n">
        <v>9.199999999999999</v>
      </c>
      <c r="D7" s="8" t="n">
        <v>9.300000000000001</v>
      </c>
      <c r="E7" s="8" t="n">
        <v>19.5</v>
      </c>
      <c r="F7" s="8" t="n">
        <v>20.5</v>
      </c>
      <c r="G7" s="8" t="n">
        <v>26.7</v>
      </c>
      <c r="H7" s="8" t="n">
        <v>28.8</v>
      </c>
      <c r="I7" s="8" t="n">
        <v>29.1</v>
      </c>
      <c r="J7" s="8" t="n">
        <v>21.3</v>
      </c>
      <c r="K7" s="8" t="n">
        <v>18.2</v>
      </c>
      <c r="L7" s="8" t="n">
        <v>7</v>
      </c>
      <c r="M7" s="8" t="n">
        <v>1.6</v>
      </c>
      <c r="N7" s="9">
        <f>AVERAGE(B7:M7)</f>
        <v/>
      </c>
    </row>
    <row r="8">
      <c r="A8" s="7" t="inlineStr">
        <is>
          <t>Srednja minimalna</t>
        </is>
      </c>
      <c r="B8" s="8" t="n">
        <v>-1.4</v>
      </c>
      <c r="C8" s="8" t="n">
        <v>-1.3</v>
      </c>
      <c r="D8" s="8" t="n">
        <v>-0.6</v>
      </c>
      <c r="E8" s="8" t="n">
        <v>6.4</v>
      </c>
      <c r="F8" s="8" t="n">
        <v>10.9</v>
      </c>
      <c r="G8" s="8" t="n">
        <v>15.5</v>
      </c>
      <c r="H8" s="8" t="n">
        <v>17.2</v>
      </c>
      <c r="I8" s="8" t="n">
        <v>18</v>
      </c>
      <c r="J8" s="8" t="n">
        <v>12</v>
      </c>
      <c r="K8" s="8" t="n">
        <v>8</v>
      </c>
      <c r="L8" s="8" t="n">
        <v>0.2</v>
      </c>
      <c r="M8" s="8" t="n">
        <v>-7.6</v>
      </c>
      <c r="N8" s="9">
        <f>AVERAGE(B8:M8)</f>
        <v/>
      </c>
    </row>
    <row r="9">
      <c r="A9" s="7" t="inlineStr">
        <is>
          <t>Apsolutni maksimum</t>
        </is>
      </c>
      <c r="B9" s="8" t="n">
        <v>13.2</v>
      </c>
      <c r="C9" s="8" t="n">
        <v>18</v>
      </c>
      <c r="D9" s="8" t="n">
        <v>20.5</v>
      </c>
      <c r="E9" s="8" t="n">
        <v>27.1</v>
      </c>
      <c r="F9" s="8" t="n">
        <v>25.3</v>
      </c>
      <c r="G9" s="8" t="n">
        <v>32.9</v>
      </c>
      <c r="H9" s="8" t="n">
        <v>38.2</v>
      </c>
      <c r="I9" s="8" t="n">
        <v>37.3</v>
      </c>
      <c r="J9" s="8" t="n">
        <v>29.5</v>
      </c>
      <c r="K9" s="8" t="n">
        <v>25.3</v>
      </c>
      <c r="L9" s="8" t="n">
        <v>21.6</v>
      </c>
      <c r="M9" s="8" t="n">
        <v>8.1</v>
      </c>
      <c r="N9" s="9">
        <f>MAX(B9:M9)</f>
        <v/>
      </c>
    </row>
    <row r="10">
      <c r="A10" s="7" t="inlineStr">
        <is>
          <t>Apsolutni minimum</t>
        </is>
      </c>
      <c r="B10" s="8" t="n">
        <v>-7</v>
      </c>
      <c r="C10" s="8" t="n">
        <v>-12.2</v>
      </c>
      <c r="D10" s="8" t="n">
        <v>-4.4</v>
      </c>
      <c r="E10" s="8" t="n">
        <v>0.5</v>
      </c>
      <c r="F10" s="8" t="n">
        <v>6.6</v>
      </c>
      <c r="G10" s="8" t="n">
        <v>10.3</v>
      </c>
      <c r="H10" s="8" t="n">
        <v>11.1</v>
      </c>
      <c r="I10" s="8" t="n">
        <v>11.9</v>
      </c>
      <c r="J10" s="8" t="n">
        <v>8.699999999999999</v>
      </c>
      <c r="K10" s="8" t="n">
        <v>0.5</v>
      </c>
      <c r="L10" s="8" t="n">
        <v>-7.7</v>
      </c>
      <c r="M10" s="8" t="n">
        <v>-15.9</v>
      </c>
      <c r="N10" s="9">
        <f>MIN(B10:M10)</f>
        <v/>
      </c>
    </row>
    <row r="11">
      <c r="A11" s="7" t="inlineStr">
        <is>
          <t>Sr. br. mraznih dana</t>
        </is>
      </c>
      <c r="B11" s="10" t="n">
        <v>22</v>
      </c>
      <c r="C11" s="10" t="n">
        <v>16</v>
      </c>
      <c r="D11" s="10" t="n">
        <v>20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15</v>
      </c>
      <c r="M11" s="10" t="n">
        <v>29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9</v>
      </c>
      <c r="H12" s="10" t="n">
        <v>16</v>
      </c>
      <c r="I12" s="10" t="n">
        <v>15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82.09999999999999</v>
      </c>
      <c r="C14" s="8" t="n">
        <v>75.40000000000001</v>
      </c>
      <c r="D14" s="8" t="n">
        <v>63.7</v>
      </c>
      <c r="E14" s="8" t="n">
        <v>66.8</v>
      </c>
      <c r="F14" s="8" t="n">
        <v>70.3</v>
      </c>
      <c r="G14" s="8" t="n">
        <v>68</v>
      </c>
      <c r="H14" s="8" t="n">
        <v>59.8</v>
      </c>
      <c r="I14" s="8" t="n">
        <v>56.9</v>
      </c>
      <c r="J14" s="8" t="n">
        <v>75.40000000000001</v>
      </c>
      <c r="K14" s="8" t="n">
        <v>79.5</v>
      </c>
      <c r="L14" s="8" t="n">
        <v>83.40000000000001</v>
      </c>
      <c r="M14" s="8" t="n">
        <v>82.3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212</v>
      </c>
      <c r="C16" s="8" t="n">
        <v>214.1</v>
      </c>
      <c r="D16" s="8" t="n">
        <v>301.6</v>
      </c>
      <c r="E16" s="8" t="n">
        <v>338.7</v>
      </c>
      <c r="F16" s="8" t="n">
        <v>323.9</v>
      </c>
      <c r="G16" s="8" t="n">
        <v>413.7</v>
      </c>
      <c r="H16" s="8" t="n">
        <v>408.4</v>
      </c>
      <c r="I16" s="8" t="n">
        <v>371.4</v>
      </c>
      <c r="J16" s="8" t="n">
        <v>242.3</v>
      </c>
      <c r="K16" s="8" t="n">
        <v>244.6</v>
      </c>
      <c r="L16" s="8" t="n">
        <v>124.5</v>
      </c>
      <c r="M16" s="8" t="n">
        <v>192.7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10</v>
      </c>
      <c r="D17" s="10" t="n">
        <v>2</v>
      </c>
      <c r="E17" s="10" t="n">
        <v>3</v>
      </c>
      <c r="F17" s="10" t="n">
        <v>2</v>
      </c>
      <c r="G17" s="10" t="n">
        <v>4</v>
      </c>
      <c r="H17" s="10" t="n">
        <v>16</v>
      </c>
      <c r="I17" s="10" t="n">
        <v>14</v>
      </c>
      <c r="J17" s="10" t="n">
        <v>3</v>
      </c>
      <c r="K17" s="10" t="n">
        <v>4</v>
      </c>
      <c r="L17" s="10" t="n">
        <v>1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9</v>
      </c>
      <c r="C18" s="10" t="n">
        <v>10</v>
      </c>
      <c r="D18" s="10" t="n">
        <v>3</v>
      </c>
      <c r="E18" s="10" t="n">
        <v>6</v>
      </c>
      <c r="F18" s="10" t="n">
        <v>11</v>
      </c>
      <c r="G18" s="10" t="n">
        <v>1</v>
      </c>
      <c r="H18" s="10" t="n">
        <v>3</v>
      </c>
      <c r="I18" s="10" t="n">
        <v>3</v>
      </c>
      <c r="J18" s="10" t="n">
        <v>10</v>
      </c>
      <c r="K18" s="10" t="n">
        <v>10</v>
      </c>
      <c r="L18" s="10" t="n">
        <v>13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56.7</v>
      </c>
      <c r="C20" s="8" t="n">
        <v>40.1</v>
      </c>
      <c r="D20" s="8" t="n">
        <v>27.6</v>
      </c>
      <c r="E20" s="8" t="n">
        <v>49.5</v>
      </c>
      <c r="F20" s="8" t="n">
        <v>86.09999999999999</v>
      </c>
      <c r="G20" s="8" t="n">
        <v>66.90000000000001</v>
      </c>
      <c r="H20" s="8" t="n">
        <v>28.3</v>
      </c>
      <c r="I20" s="8" t="n">
        <v>26.2</v>
      </c>
      <c r="J20" s="8" t="n">
        <v>96.3</v>
      </c>
      <c r="K20" s="8" t="n">
        <v>110.8</v>
      </c>
      <c r="L20" s="8" t="n">
        <v>82.59999999999999</v>
      </c>
      <c r="M20" s="8" t="n">
        <v>36.2</v>
      </c>
      <c r="N20" s="9">
        <f>SUM(B20:M20)</f>
        <v/>
      </c>
    </row>
    <row r="21">
      <c r="A21" s="7" t="inlineStr">
        <is>
          <t>Max. dnevna suma</t>
        </is>
      </c>
      <c r="B21" s="8" t="n">
        <v>21.9</v>
      </c>
      <c r="C21" s="8" t="n">
        <v>18.9</v>
      </c>
      <c r="D21" s="8" t="n">
        <v>7</v>
      </c>
      <c r="E21" s="8" t="n">
        <v>16.2</v>
      </c>
      <c r="F21" s="8" t="n">
        <v>13.1</v>
      </c>
      <c r="G21" s="8" t="n">
        <v>17.7</v>
      </c>
      <c r="H21" s="8" t="n">
        <v>8</v>
      </c>
      <c r="I21" s="8" t="n">
        <v>7.5</v>
      </c>
      <c r="J21" s="8" t="n">
        <v>26.3</v>
      </c>
      <c r="K21" s="8" t="n">
        <v>33.9</v>
      </c>
      <c r="L21" s="8" t="n">
        <v>21.9</v>
      </c>
      <c r="M21" s="8" t="n">
        <v>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15</v>
      </c>
      <c r="C22" s="10" t="n">
        <v>10</v>
      </c>
      <c r="D22" s="10" t="n">
        <v>15</v>
      </c>
      <c r="E22" s="10" t="n">
        <v>16</v>
      </c>
      <c r="F22" s="10" t="n">
        <v>18</v>
      </c>
      <c r="G22" s="10" t="n">
        <v>22</v>
      </c>
      <c r="H22" s="10" t="n">
        <v>10</v>
      </c>
      <c r="I22" s="10" t="n">
        <v>10</v>
      </c>
      <c r="J22" s="10" t="n">
        <v>16</v>
      </c>
      <c r="K22" s="10" t="n">
        <v>14</v>
      </c>
      <c r="L22" s="10" t="n">
        <v>17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1</v>
      </c>
      <c r="D23" s="10" t="n">
        <v>0</v>
      </c>
      <c r="E23" s="10" t="n">
        <v>1</v>
      </c>
      <c r="F23" s="10" t="n">
        <v>3</v>
      </c>
      <c r="G23" s="10" t="n">
        <v>4</v>
      </c>
      <c r="H23" s="10" t="n">
        <v>0</v>
      </c>
      <c r="I23" s="10" t="n">
        <v>0</v>
      </c>
      <c r="J23" s="10" t="n">
        <v>3</v>
      </c>
      <c r="K23" s="10" t="n">
        <v>3</v>
      </c>
      <c r="L23" s="10" t="n">
        <v>3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7</v>
      </c>
      <c r="D25" s="10" t="n">
        <v>15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10</v>
      </c>
      <c r="M25" s="10" t="n">
        <v>15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7</v>
      </c>
      <c r="D26" s="10" t="n">
        <v>15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10</v>
      </c>
      <c r="M26" s="10" t="n">
        <v>15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1999.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0.9</v>
      </c>
      <c r="C6" s="8" t="n">
        <v>0.6</v>
      </c>
      <c r="D6" s="8" t="n">
        <v>6.9</v>
      </c>
      <c r="E6" s="8" t="n">
        <v>12.2</v>
      </c>
      <c r="F6" s="8" t="n">
        <v>16.8</v>
      </c>
      <c r="G6" s="8" t="n">
        <v>19.8</v>
      </c>
      <c r="H6" s="8" t="n">
        <v>21.5</v>
      </c>
      <c r="I6" s="8" t="n">
        <v>22.6</v>
      </c>
      <c r="J6" s="8" t="n">
        <v>18.9</v>
      </c>
      <c r="K6" s="8" t="n">
        <v>11.9</v>
      </c>
      <c r="L6" s="8" t="n">
        <v>5.3</v>
      </c>
      <c r="M6" s="8" t="n">
        <v>1.4</v>
      </c>
      <c r="N6" s="9">
        <f>AVERAGE(B6:M6)</f>
        <v/>
      </c>
    </row>
    <row r="7">
      <c r="A7" s="7" t="inlineStr">
        <is>
          <t>Srednja maksimalna</t>
        </is>
      </c>
      <c r="B7" s="8" t="n">
        <v>5.7</v>
      </c>
      <c r="C7" s="8" t="n">
        <v>5.4</v>
      </c>
      <c r="D7" s="8" t="n">
        <v>12.5</v>
      </c>
      <c r="E7" s="8" t="n">
        <v>17.8</v>
      </c>
      <c r="F7" s="8" t="n">
        <v>21.6</v>
      </c>
      <c r="G7" s="8" t="n">
        <v>24.6</v>
      </c>
      <c r="H7" s="8" t="n">
        <v>25.9</v>
      </c>
      <c r="I7" s="8" t="n">
        <v>27.8</v>
      </c>
      <c r="J7" s="8" t="n">
        <v>23.9</v>
      </c>
      <c r="K7" s="8" t="n">
        <v>16.9</v>
      </c>
      <c r="L7" s="8" t="n">
        <v>9.6</v>
      </c>
      <c r="M7" s="8" t="n">
        <v>6.4</v>
      </c>
      <c r="N7" s="9">
        <f>AVERAGE(B7:M7)</f>
        <v/>
      </c>
    </row>
    <row r="8">
      <c r="A8" s="7" t="inlineStr">
        <is>
          <t>Srednja minimalna</t>
        </is>
      </c>
      <c r="B8" s="8" t="n">
        <v>-2.6</v>
      </c>
      <c r="C8" s="8" t="n">
        <v>-3.9</v>
      </c>
      <c r="D8" s="8" t="n">
        <v>1.8</v>
      </c>
      <c r="E8" s="8" t="n">
        <v>6.5</v>
      </c>
      <c r="F8" s="8" t="n">
        <v>11.1</v>
      </c>
      <c r="G8" s="8" t="n">
        <v>14.9</v>
      </c>
      <c r="H8" s="8" t="n">
        <v>17.1</v>
      </c>
      <c r="I8" s="8" t="n">
        <v>16.8</v>
      </c>
      <c r="J8" s="8" t="n">
        <v>13.8</v>
      </c>
      <c r="K8" s="8" t="n">
        <v>7.7</v>
      </c>
      <c r="L8" s="8" t="n">
        <v>1.9</v>
      </c>
      <c r="M8" s="8" t="n">
        <v>-2.5</v>
      </c>
      <c r="N8" s="9">
        <f>AVERAGE(B8:M8)</f>
        <v/>
      </c>
    </row>
    <row r="9">
      <c r="A9" s="7" t="inlineStr">
        <is>
          <t>Apsolutni maksimum</t>
        </is>
      </c>
      <c r="B9" s="8" t="n">
        <v>12.5</v>
      </c>
      <c r="C9" s="8" t="n">
        <v>16.5</v>
      </c>
      <c r="D9" s="8" t="n">
        <v>18.8</v>
      </c>
      <c r="E9" s="8" t="n">
        <v>25.7</v>
      </c>
      <c r="F9" s="8" t="n">
        <v>28</v>
      </c>
      <c r="G9" s="8" t="n">
        <v>30.3</v>
      </c>
      <c r="H9" s="8" t="n">
        <v>33.4</v>
      </c>
      <c r="I9" s="8" t="n">
        <v>37.6</v>
      </c>
      <c r="J9" s="8" t="n">
        <v>31.9</v>
      </c>
      <c r="K9" s="8" t="n">
        <v>27.2</v>
      </c>
      <c r="L9" s="8" t="n">
        <v>17.3</v>
      </c>
      <c r="M9" s="8" t="n">
        <v>13</v>
      </c>
      <c r="N9" s="9">
        <f>MAX(B9:M9)</f>
        <v/>
      </c>
    </row>
    <row r="10">
      <c r="A10" s="7" t="inlineStr">
        <is>
          <t>Apsolutni minimum</t>
        </is>
      </c>
      <c r="B10" s="8" t="n">
        <v>-10.5</v>
      </c>
      <c r="C10" s="8" t="n">
        <v>-17.3</v>
      </c>
      <c r="D10" s="8" t="n">
        <v>-2.6</v>
      </c>
      <c r="E10" s="8" t="n">
        <v>1.6</v>
      </c>
      <c r="F10" s="8" t="n">
        <v>6</v>
      </c>
      <c r="G10" s="8" t="n">
        <v>9.6</v>
      </c>
      <c r="H10" s="8" t="n">
        <v>13.8</v>
      </c>
      <c r="I10" s="8" t="n">
        <v>12.6</v>
      </c>
      <c r="J10" s="8" t="n">
        <v>9.300000000000001</v>
      </c>
      <c r="K10" s="8" t="n">
        <v>3.2</v>
      </c>
      <c r="L10" s="8" t="n">
        <v>-3.9</v>
      </c>
      <c r="M10" s="8" t="n">
        <v>-19.4</v>
      </c>
      <c r="N10" s="9">
        <f>MIN(B10:M10)</f>
        <v/>
      </c>
    </row>
    <row r="11">
      <c r="A11" s="7" t="inlineStr">
        <is>
          <t>Sr. br. mraznih dana</t>
        </is>
      </c>
      <c r="B11" s="10" t="n">
        <v>25</v>
      </c>
      <c r="C11" s="10" t="n">
        <v>24</v>
      </c>
      <c r="D11" s="10" t="n">
        <v>8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8</v>
      </c>
      <c r="M11" s="10" t="n">
        <v>21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4</v>
      </c>
      <c r="I12" s="10" t="n">
        <v>10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84.09999999999999</v>
      </c>
      <c r="C14" s="8" t="n">
        <v>77.09999999999999</v>
      </c>
      <c r="D14" s="8" t="n">
        <v>73.2</v>
      </c>
      <c r="E14" s="8" t="n">
        <v>75.3</v>
      </c>
      <c r="F14" s="8" t="n">
        <v>74</v>
      </c>
      <c r="G14" s="8" t="n">
        <v>77.2</v>
      </c>
      <c r="H14" s="8" t="n">
        <v>77.5</v>
      </c>
      <c r="I14" s="8" t="n">
        <v>68.7</v>
      </c>
      <c r="J14" s="8" t="n">
        <v>76</v>
      </c>
      <c r="K14" s="8" t="n">
        <v>78.8</v>
      </c>
      <c r="L14" s="8" t="n">
        <v>84.09999999999999</v>
      </c>
      <c r="M14" s="8" t="n">
        <v>85.7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194.9</v>
      </c>
      <c r="C16" s="8" t="n">
        <v>176.1</v>
      </c>
      <c r="D16" s="8" t="n">
        <v>274</v>
      </c>
      <c r="E16" s="8" t="n">
        <v>302.7</v>
      </c>
      <c r="F16" s="8" t="n">
        <v>329.2</v>
      </c>
      <c r="G16" s="8" t="n">
        <v>323.8</v>
      </c>
      <c r="H16" s="8" t="n">
        <v>326.9</v>
      </c>
      <c r="I16" s="8" t="n">
        <v>376.8</v>
      </c>
      <c r="J16" s="8" t="n">
        <v>284.4</v>
      </c>
      <c r="K16" s="8" t="n">
        <v>242.1</v>
      </c>
      <c r="L16" s="8" t="n">
        <v>159.8</v>
      </c>
      <c r="M16" s="8" t="n">
        <v>171.2</v>
      </c>
      <c r="N16" s="9">
        <f>SUM(B16:M16)</f>
        <v/>
      </c>
    </row>
    <row r="17">
      <c r="A17" s="7" t="inlineStr">
        <is>
          <t>Broj vedrih dana</t>
        </is>
      </c>
      <c r="B17" s="10" t="n">
        <v>8</v>
      </c>
      <c r="C17" s="10" t="n">
        <v>4</v>
      </c>
      <c r="D17" s="10" t="n">
        <v>6</v>
      </c>
      <c r="E17" s="10" t="n">
        <v>4</v>
      </c>
      <c r="F17" s="10" t="n">
        <v>3</v>
      </c>
      <c r="G17" s="10" t="n">
        <v>2</v>
      </c>
      <c r="H17" s="10" t="n">
        <v>7</v>
      </c>
      <c r="I17" s="10" t="n">
        <v>13</v>
      </c>
      <c r="J17" s="10" t="n">
        <v>8</v>
      </c>
      <c r="K17" s="10" t="n">
        <v>1</v>
      </c>
      <c r="L17" s="10" t="n">
        <v>6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17</v>
      </c>
      <c r="D18" s="10" t="n">
        <v>11</v>
      </c>
      <c r="E18" s="10" t="n">
        <v>8</v>
      </c>
      <c r="F18" s="10" t="n">
        <v>10</v>
      </c>
      <c r="G18" s="10" t="n">
        <v>9</v>
      </c>
      <c r="H18" s="10" t="n">
        <v>9</v>
      </c>
      <c r="I18" s="10" t="n">
        <v>1</v>
      </c>
      <c r="J18" s="10" t="n">
        <v>5</v>
      </c>
      <c r="K18" s="10" t="n">
        <v>6</v>
      </c>
      <c r="L18" s="10" t="n">
        <v>17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41.4</v>
      </c>
      <c r="C20" s="8" t="n">
        <v>56.4</v>
      </c>
      <c r="D20" s="8" t="n">
        <v>54.4</v>
      </c>
      <c r="E20" s="8" t="n">
        <v>103.9</v>
      </c>
      <c r="F20" s="8" t="n">
        <v>63</v>
      </c>
      <c r="G20" s="8" t="n">
        <v>103.2</v>
      </c>
      <c r="H20" s="8" t="n">
        <v>137.2</v>
      </c>
      <c r="I20" s="8" t="n">
        <v>38.8</v>
      </c>
      <c r="J20" s="8" t="n">
        <v>74.40000000000001</v>
      </c>
      <c r="K20" s="8" t="n">
        <v>42.9</v>
      </c>
      <c r="L20" s="8" t="n">
        <v>50.6</v>
      </c>
      <c r="M20" s="8" t="n">
        <v>82.2</v>
      </c>
      <c r="N20" s="9">
        <f>SUM(B20:M20)</f>
        <v/>
      </c>
    </row>
    <row r="21">
      <c r="A21" s="7" t="inlineStr">
        <is>
          <t>Max. dnevna suma</t>
        </is>
      </c>
      <c r="B21" s="8" t="n">
        <v>9.6</v>
      </c>
      <c r="C21" s="8" t="n">
        <v>11.6</v>
      </c>
      <c r="D21" s="8" t="n">
        <v>18.6</v>
      </c>
      <c r="E21" s="8" t="n">
        <v>11.9</v>
      </c>
      <c r="F21" s="8" t="n">
        <v>17.1</v>
      </c>
      <c r="G21" s="8" t="n">
        <v>18.2</v>
      </c>
      <c r="H21" s="8" t="n">
        <v>24.4</v>
      </c>
      <c r="I21" s="8" t="n">
        <v>19.6</v>
      </c>
      <c r="J21" s="8" t="n">
        <v>17.6</v>
      </c>
      <c r="K21" s="8" t="n">
        <v>17.2</v>
      </c>
      <c r="L21" s="8" t="n">
        <v>9.1</v>
      </c>
      <c r="M21" s="8" t="n">
        <v>18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11</v>
      </c>
      <c r="C22" s="10" t="n">
        <v>16</v>
      </c>
      <c r="D22" s="10" t="n">
        <v>17</v>
      </c>
      <c r="E22" s="10" t="n">
        <v>24</v>
      </c>
      <c r="F22" s="10" t="n">
        <v>19</v>
      </c>
      <c r="G22" s="10" t="n">
        <v>20</v>
      </c>
      <c r="H22" s="10" t="n">
        <v>21</v>
      </c>
      <c r="I22" s="10" t="n">
        <v>14</v>
      </c>
      <c r="J22" s="10" t="n">
        <v>13</v>
      </c>
      <c r="K22" s="10" t="n">
        <v>11</v>
      </c>
      <c r="L22" s="10" t="n">
        <v>17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1</v>
      </c>
      <c r="D23" s="10" t="n">
        <v>1</v>
      </c>
      <c r="E23" s="10" t="n">
        <v>4</v>
      </c>
      <c r="F23" s="10" t="n">
        <v>1</v>
      </c>
      <c r="G23" s="10" t="n">
        <v>4</v>
      </c>
      <c r="H23" s="10" t="n">
        <v>6</v>
      </c>
      <c r="I23" s="10" t="n">
        <v>1</v>
      </c>
      <c r="J23" s="10" t="n">
        <v>4</v>
      </c>
      <c r="K23" s="10" t="n">
        <v>1</v>
      </c>
      <c r="L23" s="10" t="n">
        <v>0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9</v>
      </c>
      <c r="C25" s="10" t="n">
        <v>15</v>
      </c>
      <c r="D25" s="10" t="n">
        <v>6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2</v>
      </c>
      <c r="L25" s="10" t="n">
        <v>6</v>
      </c>
      <c r="M25" s="10" t="n">
        <v>12</v>
      </c>
      <c r="N25" s="11">
        <f>SUM(B25:M25)</f>
        <v/>
      </c>
    </row>
    <row r="26">
      <c r="A26" s="7" t="inlineStr">
        <is>
          <t>snežnim pokrivačem</t>
        </is>
      </c>
      <c r="B26" s="10" t="n">
        <v>9</v>
      </c>
      <c r="C26" s="10" t="n">
        <v>15</v>
      </c>
      <c r="D26" s="10" t="n">
        <v>6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2</v>
      </c>
      <c r="L26" s="10" t="n">
        <v>6</v>
      </c>
      <c r="M26" s="10" t="n">
        <v>12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2000.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-3</v>
      </c>
      <c r="C6" s="8" t="n">
        <v>2.9</v>
      </c>
      <c r="D6" s="8" t="n">
        <v>6.6</v>
      </c>
      <c r="E6" s="8" t="n">
        <v>14.2</v>
      </c>
      <c r="F6" s="8" t="n">
        <v>18.9</v>
      </c>
      <c r="G6" s="8" t="n">
        <v>22.1</v>
      </c>
      <c r="H6" s="8" t="n">
        <v>22.8</v>
      </c>
      <c r="I6" s="8" t="n">
        <v>25.1</v>
      </c>
      <c r="J6" s="8" t="n">
        <v>17.5</v>
      </c>
      <c r="K6" s="8" t="n">
        <v>13</v>
      </c>
      <c r="L6" s="8" t="n">
        <v>10.1</v>
      </c>
      <c r="M6" s="8" t="n">
        <v>3.5</v>
      </c>
      <c r="N6" s="9">
        <f>AVERAGE(B6:M6)</f>
        <v/>
      </c>
    </row>
    <row r="7">
      <c r="A7" s="7" t="inlineStr">
        <is>
          <t>Srednja maksimalna</t>
        </is>
      </c>
      <c r="B7" s="8" t="n">
        <v>1.3</v>
      </c>
      <c r="C7" s="8" t="n">
        <v>7.5</v>
      </c>
      <c r="D7" s="8" t="n">
        <v>12.7</v>
      </c>
      <c r="E7" s="8" t="n">
        <v>19.9</v>
      </c>
      <c r="F7" s="8" t="n">
        <v>24.6</v>
      </c>
      <c r="G7" s="8" t="n">
        <v>27.6</v>
      </c>
      <c r="H7" s="8" t="n">
        <v>29</v>
      </c>
      <c r="I7" s="8" t="n">
        <v>30.8</v>
      </c>
      <c r="J7" s="8" t="n">
        <v>22.9</v>
      </c>
      <c r="K7" s="8" t="n">
        <v>18.8</v>
      </c>
      <c r="L7" s="8" t="n">
        <v>16.3</v>
      </c>
      <c r="M7" s="8" t="n">
        <v>8.9</v>
      </c>
      <c r="N7" s="9">
        <f>AVERAGE(B7:M7)</f>
        <v/>
      </c>
    </row>
    <row r="8">
      <c r="A8" s="7" t="inlineStr">
        <is>
          <t>Srednja minimalna</t>
        </is>
      </c>
      <c r="B8" s="8" t="n">
        <v>-7.4</v>
      </c>
      <c r="C8" s="8" t="n">
        <v>-1.1</v>
      </c>
      <c r="D8" s="8" t="n">
        <v>1</v>
      </c>
      <c r="E8" s="8" t="n">
        <v>8</v>
      </c>
      <c r="F8" s="8" t="n">
        <v>12.3</v>
      </c>
      <c r="G8" s="8" t="n">
        <v>15.3</v>
      </c>
      <c r="H8" s="8" t="n">
        <v>15.7</v>
      </c>
      <c r="I8" s="8" t="n">
        <v>18.2</v>
      </c>
      <c r="J8" s="8" t="n">
        <v>12.5</v>
      </c>
      <c r="K8" s="8" t="n">
        <v>8.1</v>
      </c>
      <c r="L8" s="8" t="n">
        <v>5.4</v>
      </c>
      <c r="M8" s="8" t="n">
        <v>-0.6</v>
      </c>
      <c r="N8" s="9">
        <f>AVERAGE(B8:M8)</f>
        <v/>
      </c>
    </row>
    <row r="9">
      <c r="A9" s="7" t="inlineStr">
        <is>
          <t>Apsolutni maksimum</t>
        </is>
      </c>
      <c r="B9" s="8" t="n">
        <v>6.9</v>
      </c>
      <c r="C9" s="8" t="n">
        <v>13.8</v>
      </c>
      <c r="D9" s="8" t="n">
        <v>21.3</v>
      </c>
      <c r="E9" s="8" t="n">
        <v>26.3</v>
      </c>
      <c r="F9" s="8" t="n">
        <v>30.2</v>
      </c>
      <c r="G9" s="8" t="n">
        <v>35.5</v>
      </c>
      <c r="H9" s="8" t="n">
        <v>41.1</v>
      </c>
      <c r="I9" s="8" t="n">
        <v>38</v>
      </c>
      <c r="J9" s="8" t="n">
        <v>31.9</v>
      </c>
      <c r="K9" s="8" t="n">
        <v>25.5</v>
      </c>
      <c r="L9" s="8" t="n">
        <v>21.8</v>
      </c>
      <c r="M9" s="8" t="n">
        <v>14</v>
      </c>
      <c r="N9" s="9">
        <f>MAX(B9:M9)</f>
        <v/>
      </c>
    </row>
    <row r="10">
      <c r="A10" s="7" t="inlineStr">
        <is>
          <t>Apsolutni minimum</t>
        </is>
      </c>
      <c r="B10" s="8" t="n">
        <v>-18.2</v>
      </c>
      <c r="C10" s="8" t="n">
        <v>-5.2</v>
      </c>
      <c r="D10" s="8" t="n">
        <v>-3.1</v>
      </c>
      <c r="E10" s="8" t="n">
        <v>0.1</v>
      </c>
      <c r="F10" s="8" t="n">
        <v>6.1</v>
      </c>
      <c r="G10" s="8" t="n">
        <v>9.800000000000001</v>
      </c>
      <c r="H10" s="8" t="n">
        <v>11.9</v>
      </c>
      <c r="I10" s="8" t="n">
        <v>12.3</v>
      </c>
      <c r="J10" s="8" t="n">
        <v>6.4</v>
      </c>
      <c r="K10" s="8" t="n">
        <v>0.4</v>
      </c>
      <c r="L10" s="8" t="n">
        <v>-1.9</v>
      </c>
      <c r="M10" s="8" t="n">
        <v>-6.8</v>
      </c>
      <c r="N10" s="9">
        <f>MIN(B10:M10)</f>
        <v/>
      </c>
    </row>
    <row r="11">
      <c r="A11" s="7" t="inlineStr">
        <is>
          <t>Sr. br. mraznih dana</t>
        </is>
      </c>
      <c r="B11" s="10" t="n">
        <v>31</v>
      </c>
      <c r="C11" s="10" t="n">
        <v>21</v>
      </c>
      <c r="D11" s="10" t="n">
        <v>12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12</v>
      </c>
      <c r="H12" s="10" t="n">
        <v>13</v>
      </c>
      <c r="I12" s="10" t="n">
        <v>20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78.8</v>
      </c>
      <c r="C14" s="8" t="n">
        <v>75.7</v>
      </c>
      <c r="D14" s="8" t="n">
        <v>69.09999999999999</v>
      </c>
      <c r="E14" s="8" t="n">
        <v>66.7</v>
      </c>
      <c r="F14" s="8" t="n">
        <v>59.5</v>
      </c>
      <c r="G14" s="8" t="n">
        <v>53.6</v>
      </c>
      <c r="H14" s="8" t="n">
        <v>56</v>
      </c>
      <c r="I14" s="8" t="n">
        <v>46.5</v>
      </c>
      <c r="J14" s="8" t="n">
        <v>69.3</v>
      </c>
      <c r="K14" s="8" t="n">
        <v>74</v>
      </c>
      <c r="L14" s="8" t="n">
        <v>79.90000000000001</v>
      </c>
      <c r="M14" s="8" t="n">
        <v>80.7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209.4</v>
      </c>
      <c r="C16" s="8" t="n">
        <v>203.2</v>
      </c>
      <c r="D16" s="8" t="n">
        <v>304.1</v>
      </c>
      <c r="E16" s="8" t="n">
        <v>331.3</v>
      </c>
      <c r="F16" s="8" t="n">
        <v>390.9</v>
      </c>
      <c r="G16" s="8" t="n">
        <v>412.7</v>
      </c>
      <c r="H16" s="8" t="n">
        <v>415</v>
      </c>
      <c r="I16" s="8" t="n">
        <v>399.8</v>
      </c>
      <c r="J16" s="8" t="n">
        <v>279.1</v>
      </c>
      <c r="K16" s="8" t="n">
        <v>269.9</v>
      </c>
      <c r="L16" s="8" t="n">
        <v>234.8</v>
      </c>
      <c r="M16" s="8" t="n">
        <v>200.4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3</v>
      </c>
      <c r="D17" s="10" t="n">
        <v>4</v>
      </c>
      <c r="E17" s="10" t="n">
        <v>1</v>
      </c>
      <c r="F17" s="10" t="n">
        <v>8</v>
      </c>
      <c r="G17" s="10" t="n">
        <v>14</v>
      </c>
      <c r="H17" s="10" t="n">
        <v>16</v>
      </c>
      <c r="I17" s="10" t="n">
        <v>18</v>
      </c>
      <c r="J17" s="10" t="n">
        <v>5</v>
      </c>
      <c r="K17" s="10" t="n">
        <v>10</v>
      </c>
      <c r="L17" s="10" t="n">
        <v>2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8</v>
      </c>
      <c r="C18" s="10" t="n">
        <v>8</v>
      </c>
      <c r="D18" s="10" t="n">
        <v>4</v>
      </c>
      <c r="E18" s="10" t="n">
        <v>4</v>
      </c>
      <c r="F18" s="10" t="n">
        <v>5</v>
      </c>
      <c r="G18" s="10" t="n">
        <v>3</v>
      </c>
      <c r="H18" s="10" t="n">
        <v>1</v>
      </c>
      <c r="I18" s="10" t="n">
        <v>0</v>
      </c>
      <c r="J18" s="10" t="n">
        <v>9</v>
      </c>
      <c r="K18" s="10" t="n">
        <v>12</v>
      </c>
      <c r="L18" s="10" t="n">
        <v>5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47.4</v>
      </c>
      <c r="C20" s="8" t="n">
        <v>47.3</v>
      </c>
      <c r="D20" s="8" t="n">
        <v>52.4</v>
      </c>
      <c r="E20" s="8" t="n">
        <v>39.4</v>
      </c>
      <c r="F20" s="8" t="n">
        <v>34.1</v>
      </c>
      <c r="G20" s="8" t="n">
        <v>32.7</v>
      </c>
      <c r="H20" s="8" t="n">
        <v>60</v>
      </c>
      <c r="I20" s="8" t="n">
        <v>19.8</v>
      </c>
      <c r="J20" s="8" t="n">
        <v>80.09999999999999</v>
      </c>
      <c r="K20" s="8" t="n">
        <v>22.4</v>
      </c>
      <c r="L20" s="8" t="n">
        <v>25.9</v>
      </c>
      <c r="M20" s="8" t="n">
        <v>28.8</v>
      </c>
      <c r="N20" s="9">
        <f>SUM(B20:M20)</f>
        <v/>
      </c>
    </row>
    <row r="21">
      <c r="A21" s="7" t="inlineStr">
        <is>
          <t>Max. dnevna suma</t>
        </is>
      </c>
      <c r="B21" s="8" t="n">
        <v>13.8</v>
      </c>
      <c r="C21" s="8" t="n">
        <v>12.5</v>
      </c>
      <c r="D21" s="8" t="n">
        <v>9</v>
      </c>
      <c r="E21" s="8" t="n">
        <v>11</v>
      </c>
      <c r="F21" s="8" t="n">
        <v>8</v>
      </c>
      <c r="G21" s="8" t="n">
        <v>7.4</v>
      </c>
      <c r="H21" s="8" t="n">
        <v>18.4</v>
      </c>
      <c r="I21" s="8" t="n">
        <v>6.8</v>
      </c>
      <c r="J21" s="8" t="n">
        <v>22.3</v>
      </c>
      <c r="K21" s="8" t="n">
        <v>5.5</v>
      </c>
      <c r="L21" s="8" t="n">
        <v>5.6</v>
      </c>
      <c r="M21" s="8" t="n">
        <v>5.6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11</v>
      </c>
      <c r="C22" s="10" t="n">
        <v>13</v>
      </c>
      <c r="D22" s="10" t="n">
        <v>18</v>
      </c>
      <c r="E22" s="10" t="n">
        <v>18</v>
      </c>
      <c r="F22" s="10" t="n">
        <v>17</v>
      </c>
      <c r="G22" s="10" t="n">
        <v>10</v>
      </c>
      <c r="H22" s="10" t="n">
        <v>14</v>
      </c>
      <c r="I22" s="10" t="n">
        <v>9</v>
      </c>
      <c r="J22" s="10" t="n">
        <v>15</v>
      </c>
      <c r="K22" s="10" t="n">
        <v>13</v>
      </c>
      <c r="L22" s="10" t="n">
        <v>10</v>
      </c>
      <c r="M22" s="10" t="n">
        <v>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1</v>
      </c>
      <c r="D23" s="10" t="n">
        <v>0</v>
      </c>
      <c r="E23" s="10" t="n">
        <v>1</v>
      </c>
      <c r="F23" s="10" t="n">
        <v>0</v>
      </c>
      <c r="G23" s="10" t="n">
        <v>0</v>
      </c>
      <c r="H23" s="10" t="n">
        <v>3</v>
      </c>
      <c r="I23" s="10" t="n">
        <v>0</v>
      </c>
      <c r="J23" s="10" t="n">
        <v>3</v>
      </c>
      <c r="K23" s="10" t="n">
        <v>0</v>
      </c>
      <c r="L23" s="10" t="n">
        <v>0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12</v>
      </c>
      <c r="C25" s="10" t="n">
        <v>10</v>
      </c>
      <c r="D25" s="10" t="n">
        <v>11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12</v>
      </c>
      <c r="C26" s="10" t="n">
        <v>10</v>
      </c>
      <c r="D26" s="10" t="n">
        <v>11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2001.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2.3</v>
      </c>
      <c r="C6" s="8" t="n">
        <v>3.3</v>
      </c>
      <c r="D6" s="8" t="n">
        <v>9.699999999999999</v>
      </c>
      <c r="E6" s="8" t="n">
        <v>10.5</v>
      </c>
      <c r="F6" s="8" t="n">
        <v>16.8</v>
      </c>
      <c r="G6" s="8" t="n">
        <v>18.1</v>
      </c>
      <c r="H6" s="8" t="n">
        <v>22.6</v>
      </c>
      <c r="I6" s="8" t="n">
        <v>23.8</v>
      </c>
      <c r="J6" s="8" t="n">
        <v>16.6</v>
      </c>
      <c r="K6" s="8" t="n">
        <v>14.2</v>
      </c>
      <c r="L6" s="8" t="n">
        <v>4.7</v>
      </c>
      <c r="M6" s="8" t="n">
        <v>-3.8</v>
      </c>
      <c r="N6" s="9">
        <f>AVERAGE(B6:M6)</f>
        <v/>
      </c>
    </row>
    <row r="7">
      <c r="A7" s="7" t="inlineStr">
        <is>
          <t>Srednja maksimalna</t>
        </is>
      </c>
      <c r="B7" s="8" t="n">
        <v>7.1</v>
      </c>
      <c r="C7" s="8" t="n">
        <v>8</v>
      </c>
      <c r="D7" s="8" t="n">
        <v>16.2</v>
      </c>
      <c r="E7" s="8" t="n">
        <v>15.6</v>
      </c>
      <c r="F7" s="8" t="n">
        <v>21.9</v>
      </c>
      <c r="G7" s="8" t="n">
        <v>23.2</v>
      </c>
      <c r="H7" s="8" t="n">
        <v>27.4</v>
      </c>
      <c r="I7" s="8" t="n">
        <v>29.1</v>
      </c>
      <c r="J7" s="8" t="n">
        <v>22.4</v>
      </c>
      <c r="K7" s="8" t="n">
        <v>20</v>
      </c>
      <c r="L7" s="8" t="n">
        <v>9.1</v>
      </c>
      <c r="M7" s="8" t="n">
        <v>-0.2</v>
      </c>
      <c r="N7" s="9">
        <f>AVERAGE(B7:M7)</f>
        <v/>
      </c>
    </row>
    <row r="8">
      <c r="A8" s="7" t="inlineStr">
        <is>
          <t>Srednja minimalna</t>
        </is>
      </c>
      <c r="B8" s="8" t="n">
        <v>-1</v>
      </c>
      <c r="C8" s="8" t="n">
        <v>-0.6</v>
      </c>
      <c r="D8" s="8" t="n">
        <v>3.9</v>
      </c>
      <c r="E8" s="8" t="n">
        <v>5</v>
      </c>
      <c r="F8" s="8" t="n">
        <v>11.2</v>
      </c>
      <c r="G8" s="8" t="n">
        <v>12.5</v>
      </c>
      <c r="H8" s="8" t="n">
        <v>17.3</v>
      </c>
      <c r="I8" s="8" t="n">
        <v>18.3</v>
      </c>
      <c r="J8" s="8" t="n">
        <v>11.5</v>
      </c>
      <c r="K8" s="8" t="n">
        <v>9</v>
      </c>
      <c r="L8" s="8" t="n">
        <v>1.6</v>
      </c>
      <c r="M8" s="8" t="n">
        <v>-7.6</v>
      </c>
      <c r="N8" s="9">
        <f>AVERAGE(B8:M8)</f>
        <v/>
      </c>
    </row>
    <row r="9">
      <c r="A9" s="7" t="inlineStr">
        <is>
          <t>Apsolutni maksimum</t>
        </is>
      </c>
      <c r="B9" s="8" t="n">
        <v>15.1</v>
      </c>
      <c r="C9" s="8" t="n">
        <v>16.8</v>
      </c>
      <c r="D9" s="8" t="n">
        <v>26.1</v>
      </c>
      <c r="E9" s="8" t="n">
        <v>22.5</v>
      </c>
      <c r="F9" s="8" t="n">
        <v>29.6</v>
      </c>
      <c r="G9" s="8" t="n">
        <v>34.6</v>
      </c>
      <c r="H9" s="8" t="n">
        <v>35.5</v>
      </c>
      <c r="I9" s="8" t="n">
        <v>37.5</v>
      </c>
      <c r="J9" s="8" t="n">
        <v>29.6</v>
      </c>
      <c r="K9" s="8" t="n">
        <v>26.8</v>
      </c>
      <c r="L9" s="8" t="n">
        <v>19.2</v>
      </c>
      <c r="M9" s="8" t="n">
        <v>5.5</v>
      </c>
      <c r="N9" s="9">
        <f>MAX(B9:M9)</f>
        <v/>
      </c>
    </row>
    <row r="10">
      <c r="A10" s="7" t="inlineStr">
        <is>
          <t>Apsolutni minimum</t>
        </is>
      </c>
      <c r="B10" s="8" t="n">
        <v>-6.1</v>
      </c>
      <c r="C10" s="8" t="n">
        <v>-7.1</v>
      </c>
      <c r="D10" s="8" t="n">
        <v>-4.4</v>
      </c>
      <c r="E10" s="8" t="n">
        <v>-0.3</v>
      </c>
      <c r="F10" s="8" t="n">
        <v>5.1</v>
      </c>
      <c r="G10" s="8" t="n">
        <v>8.800000000000001</v>
      </c>
      <c r="H10" s="8" t="n">
        <v>13.5</v>
      </c>
      <c r="I10" s="8" t="n">
        <v>10.9</v>
      </c>
      <c r="J10" s="8" t="n">
        <v>7.2</v>
      </c>
      <c r="K10" s="8" t="n">
        <v>-0.1</v>
      </c>
      <c r="L10" s="8" t="n">
        <v>-3</v>
      </c>
      <c r="M10" s="8" t="n">
        <v>-15.4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16</v>
      </c>
      <c r="D11" s="10" t="n">
        <v>2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10</v>
      </c>
      <c r="M11" s="10" t="n">
        <v>31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4</v>
      </c>
      <c r="H12" s="10" t="n">
        <v>8</v>
      </c>
      <c r="I12" s="10" t="n">
        <v>13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82.09999999999999</v>
      </c>
      <c r="C14" s="8" t="n">
        <v>76.7</v>
      </c>
      <c r="D14" s="8" t="n">
        <v>72.8</v>
      </c>
      <c r="E14" s="8" t="n">
        <v>73.40000000000001</v>
      </c>
      <c r="F14" s="8" t="n">
        <v>74.8</v>
      </c>
      <c r="G14" s="8" t="n">
        <v>72.5</v>
      </c>
      <c r="H14" s="8" t="n">
        <v>69.3</v>
      </c>
      <c r="I14" s="8" t="n">
        <v>62.1</v>
      </c>
      <c r="J14" s="8" t="n">
        <v>73.40000000000001</v>
      </c>
      <c r="K14" s="8" t="n">
        <v>75.8</v>
      </c>
      <c r="L14" s="8" t="n">
        <v>80.2</v>
      </c>
      <c r="M14" s="8" t="n">
        <v>80.90000000000001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182.5</v>
      </c>
      <c r="C16" s="8" t="n">
        <v>202.5</v>
      </c>
      <c r="D16" s="8" t="n">
        <v>281.2</v>
      </c>
      <c r="E16" s="8" t="n">
        <v>260.8</v>
      </c>
      <c r="F16" s="8" t="n">
        <v>341.6</v>
      </c>
      <c r="G16" s="8" t="n">
        <v>366</v>
      </c>
      <c r="H16" s="8" t="n">
        <v>387.6</v>
      </c>
      <c r="I16" s="8" t="n">
        <v>368.6</v>
      </c>
      <c r="J16" s="8" t="n">
        <v>267.8</v>
      </c>
      <c r="K16" s="8" t="n">
        <v>291.7</v>
      </c>
      <c r="L16" s="8" t="n">
        <v>166.8</v>
      </c>
      <c r="M16" s="8" t="n">
        <v>155.9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4</v>
      </c>
      <c r="D17" s="10" t="n">
        <v>2</v>
      </c>
      <c r="E17" s="10" t="n">
        <v>4</v>
      </c>
      <c r="F17" s="10" t="n">
        <v>2</v>
      </c>
      <c r="G17" s="10" t="n">
        <v>8</v>
      </c>
      <c r="H17" s="10" t="n">
        <v>7</v>
      </c>
      <c r="I17" s="10" t="n">
        <v>15</v>
      </c>
      <c r="J17" s="10" t="n">
        <v>4</v>
      </c>
      <c r="K17" s="10" t="n">
        <v>15</v>
      </c>
      <c r="L17" s="10" t="n">
        <v>4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17</v>
      </c>
      <c r="C18" s="10" t="n">
        <v>11</v>
      </c>
      <c r="D18" s="10" t="n">
        <v>12</v>
      </c>
      <c r="E18" s="10" t="n">
        <v>12</v>
      </c>
      <c r="F18" s="10" t="n">
        <v>9</v>
      </c>
      <c r="G18" s="10" t="n">
        <v>4</v>
      </c>
      <c r="H18" s="10" t="n">
        <v>4</v>
      </c>
      <c r="I18" s="10" t="n">
        <v>3</v>
      </c>
      <c r="J18" s="10" t="n">
        <v>7</v>
      </c>
      <c r="K18" s="10" t="n">
        <v>2</v>
      </c>
      <c r="L18" s="10" t="n">
        <v>15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37</v>
      </c>
      <c r="C20" s="8" t="n">
        <v>55</v>
      </c>
      <c r="D20" s="8" t="n">
        <v>63.4</v>
      </c>
      <c r="E20" s="8" t="n">
        <v>164.6</v>
      </c>
      <c r="F20" s="8" t="n">
        <v>122</v>
      </c>
      <c r="G20" s="8" t="n">
        <v>105.2</v>
      </c>
      <c r="H20" s="8" t="n">
        <v>45</v>
      </c>
      <c r="I20" s="8" t="n">
        <v>46.8</v>
      </c>
      <c r="J20" s="8" t="n">
        <v>112.3</v>
      </c>
      <c r="K20" s="8" t="n">
        <v>10.9</v>
      </c>
      <c r="L20" s="8" t="n">
        <v>69.90000000000001</v>
      </c>
      <c r="M20" s="8" t="n">
        <v>46.7</v>
      </c>
      <c r="N20" s="9">
        <f>SUM(B20:M20)</f>
        <v/>
      </c>
    </row>
    <row r="21">
      <c r="A21" s="7" t="inlineStr">
        <is>
          <t>Max. dnevna suma</t>
        </is>
      </c>
      <c r="B21" s="8" t="n">
        <v>8.800000000000001</v>
      </c>
      <c r="C21" s="8" t="n">
        <v>10.3</v>
      </c>
      <c r="D21" s="8" t="n">
        <v>14.5</v>
      </c>
      <c r="E21" s="8" t="n">
        <v>41.1</v>
      </c>
      <c r="F21" s="8" t="n">
        <v>16.7</v>
      </c>
      <c r="G21" s="8" t="n">
        <v>22.7</v>
      </c>
      <c r="H21" s="8" t="n">
        <v>7.5</v>
      </c>
      <c r="I21" s="8" t="n">
        <v>11.7</v>
      </c>
      <c r="J21" s="8" t="n">
        <v>38.5</v>
      </c>
      <c r="K21" s="8" t="n">
        <v>9.1</v>
      </c>
      <c r="L21" s="8" t="n">
        <v>11.4</v>
      </c>
      <c r="M21" s="8" t="n">
        <v>13.7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16</v>
      </c>
      <c r="D22" s="10" t="n">
        <v>16</v>
      </c>
      <c r="E22" s="10" t="n">
        <v>22</v>
      </c>
      <c r="F22" s="10" t="n">
        <v>20</v>
      </c>
      <c r="G22" s="10" t="n">
        <v>18</v>
      </c>
      <c r="H22" s="10" t="n">
        <v>19</v>
      </c>
      <c r="I22" s="10" t="n">
        <v>14</v>
      </c>
      <c r="J22" s="10" t="n">
        <v>14</v>
      </c>
      <c r="K22" s="10" t="n">
        <v>5</v>
      </c>
      <c r="L22" s="10" t="n">
        <v>17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1</v>
      </c>
      <c r="D23" s="10" t="n">
        <v>2</v>
      </c>
      <c r="E23" s="10" t="n">
        <v>6</v>
      </c>
      <c r="F23" s="10" t="n">
        <v>4</v>
      </c>
      <c r="G23" s="10" t="n">
        <v>4</v>
      </c>
      <c r="H23" s="10" t="n">
        <v>0</v>
      </c>
      <c r="I23" s="10" t="n">
        <v>1</v>
      </c>
      <c r="J23" s="10" t="n">
        <v>3</v>
      </c>
      <c r="K23" s="10" t="n">
        <v>0</v>
      </c>
      <c r="L23" s="10" t="n">
        <v>2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9</v>
      </c>
      <c r="C25" s="10" t="n">
        <v>14</v>
      </c>
      <c r="D25" s="10" t="n">
        <v>1</v>
      </c>
      <c r="E25" s="10" t="n">
        <v>6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13</v>
      </c>
      <c r="M25" s="10" t="n">
        <v>18</v>
      </c>
      <c r="N25" s="11">
        <f>SUM(B25:M25)</f>
        <v/>
      </c>
    </row>
    <row r="26">
      <c r="A26" s="7" t="inlineStr">
        <is>
          <t>snežnim pokrivačem</t>
        </is>
      </c>
      <c r="B26" s="10" t="n">
        <v>9</v>
      </c>
      <c r="C26" s="10" t="n">
        <v>14</v>
      </c>
      <c r="D26" s="10" t="n">
        <v>1</v>
      </c>
      <c r="E26" s="10" t="n">
        <v>6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13</v>
      </c>
      <c r="M26" s="10" t="n">
        <v>18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2002.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-1.5</v>
      </c>
      <c r="C6" s="8" t="n">
        <v>6</v>
      </c>
      <c r="D6" s="8" t="n">
        <v>8.6</v>
      </c>
      <c r="E6" s="8" t="n">
        <v>11.1</v>
      </c>
      <c r="F6" s="8" t="n">
        <v>18.1</v>
      </c>
      <c r="G6" s="8" t="n">
        <v>21.4</v>
      </c>
      <c r="H6" s="8" t="n">
        <v>24</v>
      </c>
      <c r="I6" s="8" t="n">
        <v>21.7</v>
      </c>
      <c r="J6" s="8" t="n">
        <v>17.2</v>
      </c>
      <c r="K6" s="8" t="n">
        <v>12.2</v>
      </c>
      <c r="L6" s="8" t="n">
        <v>7.7</v>
      </c>
      <c r="M6" s="8" t="n">
        <v>-0.3</v>
      </c>
      <c r="N6" s="9">
        <f>AVERAGE(B6:M6)</f>
        <v/>
      </c>
    </row>
    <row r="7">
      <c r="A7" s="7" t="inlineStr">
        <is>
          <t>Srednja maksimalna</t>
        </is>
      </c>
      <c r="B7" s="8" t="n">
        <v>3.5</v>
      </c>
      <c r="C7" s="8" t="n">
        <v>12.5</v>
      </c>
      <c r="D7" s="8" t="n">
        <v>14</v>
      </c>
      <c r="E7" s="8" t="n">
        <v>16.3</v>
      </c>
      <c r="F7" s="8" t="n">
        <v>23.5</v>
      </c>
      <c r="G7" s="8" t="n">
        <v>26.1</v>
      </c>
      <c r="H7" s="8" t="n">
        <v>29.1</v>
      </c>
      <c r="I7" s="8" t="n">
        <v>26.2</v>
      </c>
      <c r="J7" s="8" t="n">
        <v>21.8</v>
      </c>
      <c r="K7" s="8" t="n">
        <v>17.6</v>
      </c>
      <c r="L7" s="8" t="n">
        <v>13.4</v>
      </c>
      <c r="M7" s="8" t="n">
        <v>3</v>
      </c>
      <c r="N7" s="9">
        <f>AVERAGE(B7:M7)</f>
        <v/>
      </c>
    </row>
    <row r="8">
      <c r="A8" s="7" t="inlineStr">
        <is>
          <t>Srednja minimalna</t>
        </is>
      </c>
      <c r="B8" s="8" t="n">
        <v>-5.9</v>
      </c>
      <c r="C8" s="8" t="n">
        <v>0.6</v>
      </c>
      <c r="D8" s="8" t="n">
        <v>3.1</v>
      </c>
      <c r="E8" s="8" t="n">
        <v>5.7</v>
      </c>
      <c r="F8" s="8" t="n">
        <v>12</v>
      </c>
      <c r="G8" s="8" t="n">
        <v>15.9</v>
      </c>
      <c r="H8" s="8" t="n">
        <v>18.6</v>
      </c>
      <c r="I8" s="8" t="n">
        <v>17.3</v>
      </c>
      <c r="J8" s="8" t="n">
        <v>12.7</v>
      </c>
      <c r="K8" s="8" t="n">
        <v>7.6</v>
      </c>
      <c r="L8" s="8" t="n">
        <v>3.2</v>
      </c>
      <c r="M8" s="8" t="n">
        <v>-3.4</v>
      </c>
      <c r="N8" s="9">
        <f>AVERAGE(B8:M8)</f>
        <v/>
      </c>
    </row>
    <row r="9">
      <c r="A9" s="7" t="inlineStr">
        <is>
          <t>Apsolutni maksimum</t>
        </is>
      </c>
      <c r="B9" s="8" t="n">
        <v>16.7</v>
      </c>
      <c r="C9" s="8" t="n">
        <v>18.8</v>
      </c>
      <c r="D9" s="8" t="n">
        <v>21.2</v>
      </c>
      <c r="E9" s="8" t="n">
        <v>22.5</v>
      </c>
      <c r="F9" s="8" t="n">
        <v>28.3</v>
      </c>
      <c r="G9" s="8" t="n">
        <v>35.7</v>
      </c>
      <c r="H9" s="8" t="n">
        <v>36.3</v>
      </c>
      <c r="I9" s="8" t="n">
        <v>31.5</v>
      </c>
      <c r="J9" s="8" t="n">
        <v>26.5</v>
      </c>
      <c r="K9" s="8" t="n">
        <v>23.7</v>
      </c>
      <c r="L9" s="8" t="n">
        <v>19.5</v>
      </c>
      <c r="M9" s="8" t="n">
        <v>11.6</v>
      </c>
      <c r="N9" s="9">
        <f>MAX(B9:M9)</f>
        <v/>
      </c>
    </row>
    <row r="10">
      <c r="A10" s="7" t="inlineStr">
        <is>
          <t>Apsolutni minimum</t>
        </is>
      </c>
      <c r="B10" s="8" t="n">
        <v>-15.4</v>
      </c>
      <c r="C10" s="8" t="n">
        <v>-1.9</v>
      </c>
      <c r="D10" s="8" t="n">
        <v>-0.7</v>
      </c>
      <c r="E10" s="8" t="n">
        <v>-1.3</v>
      </c>
      <c r="F10" s="8" t="n">
        <v>7</v>
      </c>
      <c r="G10" s="8" t="n">
        <v>9.699999999999999</v>
      </c>
      <c r="H10" s="8" t="n">
        <v>15.8</v>
      </c>
      <c r="I10" s="8" t="n">
        <v>14.8</v>
      </c>
      <c r="J10" s="8" t="n">
        <v>6.7</v>
      </c>
      <c r="K10" s="8" t="n">
        <v>0.2</v>
      </c>
      <c r="L10" s="8" t="n">
        <v>-3.2</v>
      </c>
      <c r="M10" s="8" t="n">
        <v>-16.4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13</v>
      </c>
      <c r="D11" s="10" t="n">
        <v>3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4</v>
      </c>
      <c r="M11" s="10" t="n">
        <v>24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7</v>
      </c>
      <c r="H12" s="10" t="n">
        <v>14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84.5</v>
      </c>
      <c r="C14" s="8" t="n">
        <v>77.09999999999999</v>
      </c>
      <c r="D14" s="8" t="n">
        <v>68.09999999999999</v>
      </c>
      <c r="E14" s="8" t="n">
        <v>71.3</v>
      </c>
      <c r="F14" s="8" t="n">
        <v>69.5</v>
      </c>
      <c r="G14" s="8" t="n">
        <v>66.2</v>
      </c>
      <c r="H14" s="8" t="n">
        <v>64.8</v>
      </c>
      <c r="I14" s="8" t="n">
        <v>74.59999999999999</v>
      </c>
      <c r="J14" s="8" t="n">
        <v>72.5</v>
      </c>
      <c r="K14" s="8" t="n">
        <v>78.7</v>
      </c>
      <c r="L14" s="8" t="n">
        <v>82.40000000000001</v>
      </c>
      <c r="M14" s="8" t="n">
        <v>81.3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193.9</v>
      </c>
      <c r="C16" s="8" t="n">
        <v>224.3</v>
      </c>
      <c r="D16" s="8" t="n">
        <v>254.6</v>
      </c>
      <c r="E16" s="8" t="n">
        <v>293.6</v>
      </c>
      <c r="F16" s="8" t="n">
        <v>359.3</v>
      </c>
      <c r="G16" s="8" t="n">
        <v>377.1</v>
      </c>
      <c r="H16" s="8" t="n">
        <v>373.3</v>
      </c>
      <c r="I16" s="8" t="n">
        <v>333.2</v>
      </c>
      <c r="J16" s="8" t="n">
        <v>261.2</v>
      </c>
      <c r="K16" s="8" t="n">
        <v>237.1</v>
      </c>
      <c r="L16" s="8" t="n">
        <v>216.1</v>
      </c>
      <c r="M16" s="8" t="n">
        <v>109.1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2</v>
      </c>
      <c r="D17" s="10" t="n">
        <v>5</v>
      </c>
      <c r="E17" s="10" t="n">
        <v>3</v>
      </c>
      <c r="F17" s="10" t="n">
        <v>4</v>
      </c>
      <c r="G17" s="10" t="n">
        <v>9</v>
      </c>
      <c r="H17" s="10" t="n">
        <v>4</v>
      </c>
      <c r="I17" s="10" t="n">
        <v>1</v>
      </c>
      <c r="J17" s="10" t="n">
        <v>1</v>
      </c>
      <c r="K17" s="10" t="n">
        <v>2</v>
      </c>
      <c r="L17" s="10" t="n">
        <v>1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7</v>
      </c>
      <c r="D18" s="10" t="n">
        <v>12</v>
      </c>
      <c r="E18" s="10" t="n">
        <v>9</v>
      </c>
      <c r="F18" s="10" t="n">
        <v>10</v>
      </c>
      <c r="G18" s="10" t="n">
        <v>5</v>
      </c>
      <c r="H18" s="10" t="n">
        <v>7</v>
      </c>
      <c r="I18" s="10" t="n">
        <v>7</v>
      </c>
      <c r="J18" s="10" t="n">
        <v>11</v>
      </c>
      <c r="K18" s="10" t="n">
        <v>10</v>
      </c>
      <c r="L18" s="10" t="n">
        <v>9</v>
      </c>
      <c r="M18" s="10" t="n">
        <v>20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14.6</v>
      </c>
      <c r="C20" s="8" t="n">
        <v>25.4</v>
      </c>
      <c r="D20" s="8" t="n">
        <v>56.7</v>
      </c>
      <c r="E20" s="8" t="n">
        <v>79.5</v>
      </c>
      <c r="F20" s="8" t="n">
        <v>107.9</v>
      </c>
      <c r="G20" s="8" t="n">
        <v>65.59999999999999</v>
      </c>
      <c r="H20" s="8" t="n">
        <v>91.5</v>
      </c>
      <c r="I20" s="8" t="n">
        <v>123.3</v>
      </c>
      <c r="J20" s="8" t="n">
        <v>95.90000000000001</v>
      </c>
      <c r="K20" s="8" t="n">
        <v>66.09999999999999</v>
      </c>
      <c r="L20" s="8" t="n">
        <v>48.7</v>
      </c>
      <c r="M20" s="8" t="n">
        <v>71.5</v>
      </c>
      <c r="N20" s="9">
        <f>SUM(B20:M20)</f>
        <v/>
      </c>
    </row>
    <row r="21">
      <c r="A21" s="7" t="inlineStr">
        <is>
          <t>Max. dnevna suma</t>
        </is>
      </c>
      <c r="B21" s="8" t="n">
        <v>3.4</v>
      </c>
      <c r="C21" s="8" t="n">
        <v>9.5</v>
      </c>
      <c r="D21" s="8" t="n">
        <v>12.5</v>
      </c>
      <c r="E21" s="8" t="n">
        <v>15.4</v>
      </c>
      <c r="F21" s="8" t="n">
        <v>18.8</v>
      </c>
      <c r="G21" s="8" t="n">
        <v>30</v>
      </c>
      <c r="H21" s="8" t="n">
        <v>18.5</v>
      </c>
      <c r="I21" s="8" t="n">
        <v>19.6</v>
      </c>
      <c r="J21" s="8" t="n">
        <v>26.5</v>
      </c>
      <c r="K21" s="8" t="n">
        <v>13.4</v>
      </c>
      <c r="L21" s="8" t="n">
        <v>19.3</v>
      </c>
      <c r="M21" s="8" t="n">
        <v>15.5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8</v>
      </c>
      <c r="C22" s="10" t="n">
        <v>9</v>
      </c>
      <c r="D22" s="10" t="n">
        <v>17</v>
      </c>
      <c r="E22" s="10" t="n">
        <v>22</v>
      </c>
      <c r="F22" s="10" t="n">
        <v>20</v>
      </c>
      <c r="G22" s="10" t="n">
        <v>15</v>
      </c>
      <c r="H22" s="10" t="n">
        <v>24</v>
      </c>
      <c r="I22" s="10" t="n">
        <v>28</v>
      </c>
      <c r="J22" s="10" t="n">
        <v>19</v>
      </c>
      <c r="K22" s="10" t="n">
        <v>16</v>
      </c>
      <c r="L22" s="10" t="n">
        <v>12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0</v>
      </c>
      <c r="D23" s="10" t="n">
        <v>2</v>
      </c>
      <c r="E23" s="10" t="n">
        <v>3</v>
      </c>
      <c r="F23" s="10" t="n">
        <v>4</v>
      </c>
      <c r="G23" s="10" t="n">
        <v>2</v>
      </c>
      <c r="H23" s="10" t="n">
        <v>3</v>
      </c>
      <c r="I23" s="10" t="n">
        <v>4</v>
      </c>
      <c r="J23" s="10" t="n">
        <v>3</v>
      </c>
      <c r="K23" s="10" t="n">
        <v>3</v>
      </c>
      <c r="L23" s="10" t="n">
        <v>1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10</v>
      </c>
      <c r="C25" s="10" t="n">
        <v>5</v>
      </c>
      <c r="D25" s="10" t="n">
        <v>6</v>
      </c>
      <c r="E25" s="10" t="n">
        <v>4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5</v>
      </c>
      <c r="M25" s="10" t="n">
        <v>11</v>
      </c>
      <c r="N25" s="11">
        <f>SUM(B25:M25)</f>
        <v/>
      </c>
    </row>
    <row r="26">
      <c r="A26" s="7" t="inlineStr">
        <is>
          <t>snežnim pokrivačem</t>
        </is>
      </c>
      <c r="B26" s="10" t="n">
        <v>10</v>
      </c>
      <c r="C26" s="10" t="n">
        <v>5</v>
      </c>
      <c r="D26" s="10" t="n">
        <v>6</v>
      </c>
      <c r="E26" s="10" t="n">
        <v>4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5</v>
      </c>
      <c r="M26" s="10" t="n">
        <v>11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2003.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-0.5</v>
      </c>
      <c r="C6" s="8" t="n">
        <v>-2.4</v>
      </c>
      <c r="D6" s="8" t="n">
        <v>5.1</v>
      </c>
      <c r="E6" s="8" t="n">
        <v>10.1</v>
      </c>
      <c r="F6" s="8" t="n">
        <v>19.9</v>
      </c>
      <c r="G6" s="8" t="n">
        <v>23.7</v>
      </c>
      <c r="H6" s="8" t="n">
        <v>23</v>
      </c>
      <c r="I6" s="8" t="n">
        <v>25.3</v>
      </c>
      <c r="J6" s="8" t="n">
        <v>16.8</v>
      </c>
      <c r="K6" s="8" t="n">
        <v>10.8</v>
      </c>
      <c r="L6" s="8" t="n">
        <v>8</v>
      </c>
      <c r="M6" s="8" t="n">
        <v>1.2</v>
      </c>
      <c r="N6" s="9">
        <f>AVERAGE(B6:M6)</f>
        <v/>
      </c>
    </row>
    <row r="7">
      <c r="A7" s="7" t="inlineStr">
        <is>
          <t>Srednja maksimalna</t>
        </is>
      </c>
      <c r="B7" s="8" t="n">
        <v>4</v>
      </c>
      <c r="C7" s="8" t="n">
        <v>1.2</v>
      </c>
      <c r="D7" s="8" t="n">
        <v>10.9</v>
      </c>
      <c r="E7" s="8" t="n">
        <v>15.3</v>
      </c>
      <c r="F7" s="8" t="n">
        <v>25.7</v>
      </c>
      <c r="G7" s="8" t="n">
        <v>28.9</v>
      </c>
      <c r="H7" s="8" t="n">
        <v>27.9</v>
      </c>
      <c r="I7" s="8" t="n">
        <v>31.2</v>
      </c>
      <c r="J7" s="8" t="n">
        <v>21.6</v>
      </c>
      <c r="K7" s="8" t="n">
        <v>15.5</v>
      </c>
      <c r="L7" s="8" t="n">
        <v>13</v>
      </c>
      <c r="M7" s="8" t="n">
        <v>5.5</v>
      </c>
      <c r="N7" s="9">
        <f>AVERAGE(B7:M7)</f>
        <v/>
      </c>
    </row>
    <row r="8">
      <c r="A8" s="7" t="inlineStr">
        <is>
          <t>Srednja minimalna</t>
        </is>
      </c>
      <c r="B8" s="8" t="n">
        <v>-4.4</v>
      </c>
      <c r="C8" s="8" t="n">
        <v>-5.8</v>
      </c>
      <c r="D8" s="8" t="n">
        <v>-0.5</v>
      </c>
      <c r="E8" s="8" t="n">
        <v>4.6</v>
      </c>
      <c r="F8" s="8" t="n">
        <v>13.5</v>
      </c>
      <c r="G8" s="8" t="n">
        <v>17.8</v>
      </c>
      <c r="H8" s="8" t="n">
        <v>17.2</v>
      </c>
      <c r="I8" s="8" t="n">
        <v>18.6</v>
      </c>
      <c r="J8" s="8" t="n">
        <v>11.7</v>
      </c>
      <c r="K8" s="8" t="n">
        <v>6.7</v>
      </c>
      <c r="L8" s="8" t="n">
        <v>4.1</v>
      </c>
      <c r="M8" s="8" t="n">
        <v>-2.3</v>
      </c>
      <c r="N8" s="9">
        <f>AVERAGE(B8:M8)</f>
        <v/>
      </c>
    </row>
    <row r="9">
      <c r="A9" s="7" t="inlineStr">
        <is>
          <t>Apsolutni maksimum</t>
        </is>
      </c>
      <c r="B9" s="8" t="n">
        <v>11.8</v>
      </c>
      <c r="C9" s="8" t="n">
        <v>11.4</v>
      </c>
      <c r="D9" s="8" t="n">
        <v>21</v>
      </c>
      <c r="E9" s="8" t="n">
        <v>28.2</v>
      </c>
      <c r="F9" s="8" t="n">
        <v>31.7</v>
      </c>
      <c r="G9" s="8" t="n">
        <v>33.2</v>
      </c>
      <c r="H9" s="8" t="n">
        <v>35</v>
      </c>
      <c r="I9" s="8" t="n">
        <v>36.1</v>
      </c>
      <c r="J9" s="8" t="n">
        <v>28.6</v>
      </c>
      <c r="K9" s="8" t="n">
        <v>28.5</v>
      </c>
      <c r="L9" s="8" t="n">
        <v>21.8</v>
      </c>
      <c r="M9" s="8" t="n">
        <v>12</v>
      </c>
      <c r="N9" s="9">
        <f>MAX(B9:M9)</f>
        <v/>
      </c>
    </row>
    <row r="10">
      <c r="A10" s="7" t="inlineStr">
        <is>
          <t>Apsolutni minimum</t>
        </is>
      </c>
      <c r="B10" s="8" t="n">
        <v>-23.1</v>
      </c>
      <c r="C10" s="8" t="n">
        <v>-12.9</v>
      </c>
      <c r="D10" s="8" t="n">
        <v>-4.9</v>
      </c>
      <c r="E10" s="8" t="n">
        <v>-3.1</v>
      </c>
      <c r="F10" s="8" t="n">
        <v>11</v>
      </c>
      <c r="G10" s="8" t="n">
        <v>12.7</v>
      </c>
      <c r="H10" s="8" t="n">
        <v>12.4</v>
      </c>
      <c r="I10" s="8" t="n">
        <v>16.3</v>
      </c>
      <c r="J10" s="8" t="n">
        <v>8.199999999999999</v>
      </c>
      <c r="K10" s="8" t="n">
        <v>-1.7</v>
      </c>
      <c r="L10" s="8" t="n">
        <v>-1.5</v>
      </c>
      <c r="M10" s="8" t="n">
        <v>-12.7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28</v>
      </c>
      <c r="D11" s="10" t="n">
        <v>19</v>
      </c>
      <c r="E11" s="10" t="n">
        <v>6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2</v>
      </c>
      <c r="M11" s="10" t="n">
        <v>25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8</v>
      </c>
      <c r="G12" s="10" t="n">
        <v>11</v>
      </c>
      <c r="H12" s="10" t="n">
        <v>10</v>
      </c>
      <c r="I12" s="10" t="n">
        <v>18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84.7</v>
      </c>
      <c r="C14" s="8" t="n">
        <v>74.09999999999999</v>
      </c>
      <c r="D14" s="8" t="n">
        <v>69.7</v>
      </c>
      <c r="E14" s="8" t="n">
        <v>68.5</v>
      </c>
      <c r="F14" s="8" t="n">
        <v>66.5</v>
      </c>
      <c r="G14" s="8" t="n">
        <v>63.8</v>
      </c>
      <c r="H14" s="8" t="n">
        <v>64.7</v>
      </c>
      <c r="I14" s="8" t="n">
        <v>52.3</v>
      </c>
      <c r="J14" s="8" t="n">
        <v>69.90000000000001</v>
      </c>
      <c r="K14" s="8" t="n">
        <v>78.40000000000001</v>
      </c>
      <c r="L14" s="8" t="n">
        <v>83.5</v>
      </c>
      <c r="M14" s="8" t="n">
        <v>82.40000000000001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149.9</v>
      </c>
      <c r="C16" s="8" t="n">
        <v>194.2</v>
      </c>
      <c r="D16" s="8" t="n">
        <v>314.8</v>
      </c>
      <c r="E16" s="8" t="n">
        <v>306.3</v>
      </c>
      <c r="F16" s="8" t="n">
        <v>355.9</v>
      </c>
      <c r="G16" s="8" t="n">
        <v>406.3</v>
      </c>
      <c r="H16" s="8" t="n">
        <v>409</v>
      </c>
      <c r="I16" s="8" t="n">
        <v>395.8</v>
      </c>
      <c r="J16" s="8" t="n">
        <v>235</v>
      </c>
      <c r="K16" s="8" t="n">
        <v>195.8</v>
      </c>
      <c r="L16" s="8" t="n">
        <v>207.5</v>
      </c>
      <c r="M16" s="8" t="n">
        <v>186.2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5</v>
      </c>
      <c r="D17" s="10" t="n">
        <v>5</v>
      </c>
      <c r="E17" s="10" t="n">
        <v>1</v>
      </c>
      <c r="F17" s="10" t="n">
        <v>7</v>
      </c>
      <c r="G17" s="10" t="n">
        <v>9</v>
      </c>
      <c r="H17" s="10" t="n">
        <v>9</v>
      </c>
      <c r="I17" s="10" t="n">
        <v>18</v>
      </c>
      <c r="J17" s="10" t="n">
        <v>9</v>
      </c>
      <c r="K17" s="10" t="n">
        <v>1</v>
      </c>
      <c r="L17" s="10" t="n">
        <v>4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18</v>
      </c>
      <c r="C18" s="10" t="n">
        <v>14</v>
      </c>
      <c r="D18" s="10" t="n">
        <v>3</v>
      </c>
      <c r="E18" s="10" t="n">
        <v>9</v>
      </c>
      <c r="F18" s="10" t="n">
        <v>6</v>
      </c>
      <c r="G18" s="10" t="n">
        <v>1</v>
      </c>
      <c r="H18" s="10" t="n">
        <v>1</v>
      </c>
      <c r="I18" s="10" t="n">
        <v>1</v>
      </c>
      <c r="J18" s="10" t="n">
        <v>8</v>
      </c>
      <c r="K18" s="10" t="n">
        <v>14</v>
      </c>
      <c r="L18" s="10" t="n">
        <v>8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70.09999999999999</v>
      </c>
      <c r="C20" s="8" t="n">
        <v>26.3</v>
      </c>
      <c r="D20" s="8" t="n">
        <v>20.4</v>
      </c>
      <c r="E20" s="8" t="n">
        <v>64.90000000000001</v>
      </c>
      <c r="F20" s="8" t="n">
        <v>100.2</v>
      </c>
      <c r="G20" s="8" t="n">
        <v>42</v>
      </c>
      <c r="H20" s="8" t="n">
        <v>50.5</v>
      </c>
      <c r="I20" s="8" t="n">
        <v>15.7</v>
      </c>
      <c r="J20" s="8" t="n">
        <v>61.7</v>
      </c>
      <c r="K20" s="8" t="n">
        <v>108.1</v>
      </c>
      <c r="L20" s="8" t="n">
        <v>29.2</v>
      </c>
      <c r="M20" s="8" t="n">
        <v>58.4</v>
      </c>
      <c r="N20" s="9">
        <f>SUM(B20:M20)</f>
        <v/>
      </c>
    </row>
    <row r="21">
      <c r="A21" s="7" t="inlineStr">
        <is>
          <t>Max. dnevna suma</t>
        </is>
      </c>
      <c r="B21" s="8" t="n">
        <v>7.9</v>
      </c>
      <c r="C21" s="8" t="n">
        <v>6.7</v>
      </c>
      <c r="D21" s="8" t="n">
        <v>6.3</v>
      </c>
      <c r="E21" s="8" t="n">
        <v>20.4</v>
      </c>
      <c r="F21" s="8" t="n">
        <v>17.5</v>
      </c>
      <c r="G21" s="8" t="n">
        <v>9.300000000000001</v>
      </c>
      <c r="H21" s="8" t="n">
        <v>22.4</v>
      </c>
      <c r="I21" s="8" t="n">
        <v>8.6</v>
      </c>
      <c r="J21" s="8" t="n">
        <v>23.4</v>
      </c>
      <c r="K21" s="8" t="n">
        <v>17.8</v>
      </c>
      <c r="L21" s="8" t="n">
        <v>6.6</v>
      </c>
      <c r="M21" s="8" t="n">
        <v>16.3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12</v>
      </c>
      <c r="D22" s="10" t="n">
        <v>12</v>
      </c>
      <c r="E22" s="10" t="n">
        <v>21</v>
      </c>
      <c r="F22" s="10" t="n">
        <v>17</v>
      </c>
      <c r="G22" s="10" t="n">
        <v>16</v>
      </c>
      <c r="H22" s="10" t="n">
        <v>15</v>
      </c>
      <c r="I22" s="10" t="n">
        <v>13</v>
      </c>
      <c r="J22" s="10" t="n">
        <v>16</v>
      </c>
      <c r="K22" s="10" t="n">
        <v>19</v>
      </c>
      <c r="L22" s="10" t="n">
        <v>13</v>
      </c>
      <c r="M22" s="10" t="n">
        <v>12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0</v>
      </c>
      <c r="D23" s="10" t="n">
        <v>0</v>
      </c>
      <c r="E23" s="10" t="n">
        <v>2</v>
      </c>
      <c r="F23" s="10" t="n">
        <v>4</v>
      </c>
      <c r="G23" s="10" t="n">
        <v>0</v>
      </c>
      <c r="H23" s="10" t="n">
        <v>1</v>
      </c>
      <c r="I23" s="10" t="n">
        <v>0</v>
      </c>
      <c r="J23" s="10" t="n">
        <v>1</v>
      </c>
      <c r="K23" s="10" t="n">
        <v>4</v>
      </c>
      <c r="L23" s="10" t="n">
        <v>0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16</v>
      </c>
      <c r="C25" s="10" t="n">
        <v>14</v>
      </c>
      <c r="D25" s="10" t="n">
        <v>8</v>
      </c>
      <c r="E25" s="10" t="n">
        <v>3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3</v>
      </c>
      <c r="L25" s="10" t="n">
        <v>0</v>
      </c>
      <c r="M25" s="10" t="n">
        <v>10</v>
      </c>
      <c r="N25" s="11">
        <f>SUM(B25:M25)</f>
        <v/>
      </c>
    </row>
    <row r="26">
      <c r="A26" s="7" t="inlineStr">
        <is>
          <t>snežnim pokrivačem</t>
        </is>
      </c>
      <c r="B26" s="10" t="n">
        <v>16</v>
      </c>
      <c r="C26" s="10" t="n">
        <v>14</v>
      </c>
      <c r="D26" s="10" t="n">
        <v>8</v>
      </c>
      <c r="E26" s="10" t="n">
        <v>3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3</v>
      </c>
      <c r="L26" s="10" t="n">
        <v>0</v>
      </c>
      <c r="M26" s="10" t="n">
        <v>10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2004.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-1.3</v>
      </c>
      <c r="C6" s="8" t="n">
        <v>3</v>
      </c>
      <c r="D6" s="8" t="n">
        <v>6.5</v>
      </c>
      <c r="E6" s="8" t="n">
        <v>12.4</v>
      </c>
      <c r="F6" s="8" t="n">
        <v>14.6</v>
      </c>
      <c r="G6" s="8" t="n">
        <v>19.7</v>
      </c>
      <c r="H6" s="8" t="n">
        <v>22.3</v>
      </c>
      <c r="I6" s="8" t="n">
        <v>21.7</v>
      </c>
      <c r="J6" s="8" t="n">
        <v>16.9</v>
      </c>
      <c r="K6" s="8" t="n">
        <v>13.9</v>
      </c>
      <c r="L6" s="8" t="n">
        <v>6</v>
      </c>
      <c r="M6" s="8" t="n">
        <v>2.4</v>
      </c>
      <c r="N6" s="9">
        <f>AVERAGE(B6:M6)</f>
        <v/>
      </c>
    </row>
    <row r="7">
      <c r="A7" s="7" t="inlineStr">
        <is>
          <t>Srednja maksimalna</t>
        </is>
      </c>
      <c r="B7" s="8" t="n">
        <v>2.2</v>
      </c>
      <c r="C7" s="8" t="n">
        <v>8.1</v>
      </c>
      <c r="D7" s="8" t="n">
        <v>12.1</v>
      </c>
      <c r="E7" s="8" t="n">
        <v>18</v>
      </c>
      <c r="F7" s="8" t="n">
        <v>19.8</v>
      </c>
      <c r="G7" s="8" t="n">
        <v>24.2</v>
      </c>
      <c r="H7" s="8" t="n">
        <v>27.1</v>
      </c>
      <c r="I7" s="8" t="n">
        <v>26.8</v>
      </c>
      <c r="J7" s="8" t="n">
        <v>22</v>
      </c>
      <c r="K7" s="8" t="n">
        <v>19.6</v>
      </c>
      <c r="L7" s="8" t="n">
        <v>10.8</v>
      </c>
      <c r="M7" s="8" t="n">
        <v>6.2</v>
      </c>
      <c r="N7" s="9">
        <f>AVERAGE(B7:M7)</f>
        <v/>
      </c>
    </row>
    <row r="8">
      <c r="A8" s="7" t="inlineStr">
        <is>
          <t>Srednja minimalna</t>
        </is>
      </c>
      <c r="B8" s="8" t="n">
        <v>-4.4</v>
      </c>
      <c r="C8" s="8" t="n">
        <v>-1.2</v>
      </c>
      <c r="D8" s="8" t="n">
        <v>1.2</v>
      </c>
      <c r="E8" s="8" t="n">
        <v>6.9</v>
      </c>
      <c r="F8" s="8" t="n">
        <v>8.699999999999999</v>
      </c>
      <c r="G8" s="8" t="n">
        <v>14.4</v>
      </c>
      <c r="H8" s="8" t="n">
        <v>16.9</v>
      </c>
      <c r="I8" s="8" t="n">
        <v>15.8</v>
      </c>
      <c r="J8" s="8" t="n">
        <v>11.9</v>
      </c>
      <c r="K8" s="8" t="n">
        <v>8.800000000000001</v>
      </c>
      <c r="L8" s="8" t="n">
        <v>2.4</v>
      </c>
      <c r="M8" s="8" t="n">
        <v>-0.3</v>
      </c>
      <c r="N8" s="9">
        <f>AVERAGE(B8:M8)</f>
        <v/>
      </c>
    </row>
    <row r="9">
      <c r="A9" s="7" t="inlineStr">
        <is>
          <t>Apsolutni maksimum</t>
        </is>
      </c>
      <c r="B9" s="8" t="n">
        <v>13.3</v>
      </c>
      <c r="C9" s="8" t="n">
        <v>19.2</v>
      </c>
      <c r="D9" s="8" t="n">
        <v>23.1</v>
      </c>
      <c r="E9" s="8" t="n">
        <v>24.6</v>
      </c>
      <c r="F9" s="8" t="n">
        <v>26.4</v>
      </c>
      <c r="G9" s="8" t="n">
        <v>30.2</v>
      </c>
      <c r="H9" s="8" t="n">
        <v>36.4</v>
      </c>
      <c r="I9" s="8" t="n">
        <v>33.9</v>
      </c>
      <c r="J9" s="8" t="n">
        <v>30.2</v>
      </c>
      <c r="K9" s="8" t="n">
        <v>25.8</v>
      </c>
      <c r="L9" s="8" t="n">
        <v>24.6</v>
      </c>
      <c r="M9" s="8" t="n">
        <v>16.6</v>
      </c>
      <c r="N9" s="9">
        <f>MAX(B9:M9)</f>
        <v/>
      </c>
    </row>
    <row r="10">
      <c r="A10" s="7" t="inlineStr">
        <is>
          <t>Apsolutni minimum</t>
        </is>
      </c>
      <c r="B10" s="8" t="n">
        <v>-13.6</v>
      </c>
      <c r="C10" s="8" t="n">
        <v>-9.5</v>
      </c>
      <c r="D10" s="8" t="n">
        <v>-5</v>
      </c>
      <c r="E10" s="8" t="n">
        <v>1.9</v>
      </c>
      <c r="F10" s="8" t="n">
        <v>4.4</v>
      </c>
      <c r="G10" s="8" t="n">
        <v>11.4</v>
      </c>
      <c r="H10" s="8" t="n">
        <v>13.1</v>
      </c>
      <c r="I10" s="8" t="n">
        <v>12.6</v>
      </c>
      <c r="J10" s="8" t="n">
        <v>6.8</v>
      </c>
      <c r="K10" s="8" t="n">
        <v>3.4</v>
      </c>
      <c r="L10" s="8" t="n">
        <v>-2.5</v>
      </c>
      <c r="M10" s="8" t="n">
        <v>-6.2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18</v>
      </c>
      <c r="D11" s="10" t="n">
        <v>12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10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12</v>
      </c>
      <c r="I12" s="10" t="n">
        <v>6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82</v>
      </c>
      <c r="C14" s="8" t="n">
        <v>74.09999999999999</v>
      </c>
      <c r="D14" s="8" t="n">
        <v>71.7</v>
      </c>
      <c r="E14" s="8" t="n">
        <v>73.5</v>
      </c>
      <c r="F14" s="8" t="n">
        <v>71.40000000000001</v>
      </c>
      <c r="G14" s="8" t="n">
        <v>74</v>
      </c>
      <c r="H14" s="8" t="n">
        <v>67.5</v>
      </c>
      <c r="I14" s="8" t="n">
        <v>70.3</v>
      </c>
      <c r="J14" s="8" t="n">
        <v>69.59999999999999</v>
      </c>
      <c r="K14" s="8" t="n">
        <v>81.09999999999999</v>
      </c>
      <c r="L14" s="8" t="n">
        <v>81.2</v>
      </c>
      <c r="M14" s="8" t="n">
        <v>84.40000000000001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144.6</v>
      </c>
      <c r="C16" s="8" t="n">
        <v>209.6</v>
      </c>
      <c r="D16" s="8" t="n">
        <v>282.1</v>
      </c>
      <c r="E16" s="8" t="n">
        <v>313.4</v>
      </c>
      <c r="F16" s="8" t="n">
        <v>348.9</v>
      </c>
      <c r="G16" s="8" t="n">
        <v>349.8</v>
      </c>
      <c r="H16" s="8" t="n">
        <v>370</v>
      </c>
      <c r="I16" s="8" t="n">
        <v>377.4</v>
      </c>
      <c r="J16" s="8" t="n">
        <v>285.2</v>
      </c>
      <c r="K16" s="8" t="n">
        <v>245.8</v>
      </c>
      <c r="L16" s="8" t="n">
        <v>180.5</v>
      </c>
      <c r="M16" s="8" t="n">
        <v>183.3</v>
      </c>
      <c r="N16" s="9">
        <f>SUM(B16:M16)</f>
        <v/>
      </c>
    </row>
    <row r="17">
      <c r="A17" s="7" t="inlineStr">
        <is>
          <t>Broj vedrih dana</t>
        </is>
      </c>
      <c r="B17" s="10" t="n">
        <v>0</v>
      </c>
      <c r="C17" s="10" t="n">
        <v>4</v>
      </c>
      <c r="D17" s="10" t="n">
        <v>5</v>
      </c>
      <c r="E17" s="10" t="n">
        <v>2</v>
      </c>
      <c r="F17" s="10" t="n">
        <v>3</v>
      </c>
      <c r="G17" s="10" t="n">
        <v>2</v>
      </c>
      <c r="H17" s="10" t="n">
        <v>14</v>
      </c>
      <c r="I17" s="10" t="n">
        <v>10</v>
      </c>
      <c r="J17" s="10" t="n">
        <v>10</v>
      </c>
      <c r="K17" s="10" t="n">
        <v>6</v>
      </c>
      <c r="L17" s="10" t="n">
        <v>3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21</v>
      </c>
      <c r="C18" s="10" t="n">
        <v>7</v>
      </c>
      <c r="D18" s="10" t="n">
        <v>9</v>
      </c>
      <c r="E18" s="10" t="n">
        <v>13</v>
      </c>
      <c r="F18" s="10" t="n">
        <v>8</v>
      </c>
      <c r="G18" s="10" t="n">
        <v>8</v>
      </c>
      <c r="H18" s="10" t="n">
        <v>6</v>
      </c>
      <c r="I18" s="10" t="n">
        <v>1</v>
      </c>
      <c r="J18" s="10" t="n">
        <v>7</v>
      </c>
      <c r="K18" s="10" t="n">
        <v>6</v>
      </c>
      <c r="L18" s="10" t="n">
        <v>9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77.5</v>
      </c>
      <c r="C20" s="8" t="n">
        <v>66.3</v>
      </c>
      <c r="D20" s="8" t="n">
        <v>47.9</v>
      </c>
      <c r="E20" s="8" t="n">
        <v>70.7</v>
      </c>
      <c r="F20" s="8" t="n">
        <v>74.7</v>
      </c>
      <c r="G20" s="8" t="n">
        <v>123.3</v>
      </c>
      <c r="H20" s="8" t="n">
        <v>90.09999999999999</v>
      </c>
      <c r="I20" s="8" t="n">
        <v>46</v>
      </c>
      <c r="J20" s="8" t="n">
        <v>58.9</v>
      </c>
      <c r="K20" s="8" t="n">
        <v>37.1</v>
      </c>
      <c r="L20" s="8" t="n">
        <v>104.3</v>
      </c>
      <c r="M20" s="8" t="n">
        <v>43.2</v>
      </c>
      <c r="N20" s="9">
        <f>SUM(B20:M20)</f>
        <v/>
      </c>
    </row>
    <row r="21">
      <c r="A21" s="7" t="inlineStr">
        <is>
          <t>Max. dnevna suma</t>
        </is>
      </c>
      <c r="B21" s="8" t="n">
        <v>16.8</v>
      </c>
      <c r="C21" s="8" t="n">
        <v>10.1</v>
      </c>
      <c r="D21" s="8" t="n">
        <v>11</v>
      </c>
      <c r="E21" s="8" t="n">
        <v>14.7</v>
      </c>
      <c r="F21" s="8" t="n">
        <v>12.1</v>
      </c>
      <c r="G21" s="8" t="n">
        <v>20.8</v>
      </c>
      <c r="H21" s="8" t="n">
        <v>32.4</v>
      </c>
      <c r="I21" s="8" t="n">
        <v>13.8</v>
      </c>
      <c r="J21" s="8" t="n">
        <v>21.1</v>
      </c>
      <c r="K21" s="8" t="n">
        <v>6.4</v>
      </c>
      <c r="L21" s="8" t="n">
        <v>29.7</v>
      </c>
      <c r="M21" s="8" t="n">
        <v>7.7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22</v>
      </c>
      <c r="C22" s="10" t="n">
        <v>19</v>
      </c>
      <c r="D22" s="10" t="n">
        <v>10</v>
      </c>
      <c r="E22" s="10" t="n">
        <v>20</v>
      </c>
      <c r="F22" s="10" t="n">
        <v>23</v>
      </c>
      <c r="G22" s="10" t="n">
        <v>23</v>
      </c>
      <c r="H22" s="10" t="n">
        <v>19</v>
      </c>
      <c r="I22" s="10" t="n">
        <v>16</v>
      </c>
      <c r="J22" s="10" t="n">
        <v>12</v>
      </c>
      <c r="K22" s="10" t="n">
        <v>12</v>
      </c>
      <c r="L22" s="10" t="n">
        <v>16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1</v>
      </c>
      <c r="D23" s="10" t="n">
        <v>1</v>
      </c>
      <c r="E23" s="10" t="n">
        <v>2</v>
      </c>
      <c r="F23" s="10" t="n">
        <v>1</v>
      </c>
      <c r="G23" s="10" t="n">
        <v>5</v>
      </c>
      <c r="H23" s="10" t="n">
        <v>3</v>
      </c>
      <c r="I23" s="10" t="n">
        <v>1</v>
      </c>
      <c r="J23" s="10" t="n">
        <v>2</v>
      </c>
      <c r="K23" s="10" t="n">
        <v>0</v>
      </c>
      <c r="L23" s="10" t="n">
        <v>3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20</v>
      </c>
      <c r="C25" s="10" t="n">
        <v>10</v>
      </c>
      <c r="D25" s="10" t="n">
        <v>11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10</v>
      </c>
      <c r="M25" s="10" t="n">
        <v>8</v>
      </c>
      <c r="N25" s="11">
        <f>SUM(B25:M25)</f>
        <v/>
      </c>
    </row>
    <row r="26">
      <c r="A26" s="7" t="inlineStr">
        <is>
          <t>snežnim pokrivačem</t>
        </is>
      </c>
      <c r="B26" s="10" t="n">
        <v>20</v>
      </c>
      <c r="C26" s="10" t="n">
        <v>10</v>
      </c>
      <c r="D26" s="10" t="n">
        <v>11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10</v>
      </c>
      <c r="M26" s="10" t="n">
        <v>8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2005.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0.6</v>
      </c>
      <c r="C6" s="8" t="n">
        <v>-3</v>
      </c>
      <c r="D6" s="8" t="n">
        <v>4.3</v>
      </c>
      <c r="E6" s="8" t="n">
        <v>11.1</v>
      </c>
      <c r="F6" s="8" t="n">
        <v>16.7</v>
      </c>
      <c r="G6" s="8" t="n">
        <v>19</v>
      </c>
      <c r="H6" s="8" t="n">
        <v>21.9</v>
      </c>
      <c r="I6" s="8" t="n">
        <v>20.5</v>
      </c>
      <c r="J6" s="8" t="n">
        <v>17.9</v>
      </c>
      <c r="K6" s="8" t="n">
        <v>11.5</v>
      </c>
      <c r="L6" s="8" t="n">
        <v>4.5</v>
      </c>
      <c r="M6" s="8" t="n">
        <v>2.6</v>
      </c>
      <c r="N6" s="9">
        <f>AVERAGE(B6:M6)</f>
        <v/>
      </c>
    </row>
    <row r="7">
      <c r="A7" s="7" t="inlineStr">
        <is>
          <t>Srednja maksimalna</t>
        </is>
      </c>
      <c r="B7" s="8" t="n">
        <v>4.8</v>
      </c>
      <c r="C7" s="8" t="n">
        <v>2</v>
      </c>
      <c r="D7" s="8" t="n">
        <v>10.1</v>
      </c>
      <c r="E7" s="8" t="n">
        <v>16.9</v>
      </c>
      <c r="F7" s="8" t="n">
        <v>21.7</v>
      </c>
      <c r="G7" s="8" t="n">
        <v>23.6</v>
      </c>
      <c r="H7" s="8" t="n">
        <v>27</v>
      </c>
      <c r="I7" s="8" t="n">
        <v>25.2</v>
      </c>
      <c r="J7" s="8" t="n">
        <v>22.2</v>
      </c>
      <c r="K7" s="8" t="n">
        <v>16.1</v>
      </c>
      <c r="L7" s="8" t="n">
        <v>9.1</v>
      </c>
      <c r="M7" s="8" t="n">
        <v>6.1</v>
      </c>
      <c r="N7" s="9">
        <f>AVERAGE(B7:M7)</f>
        <v/>
      </c>
    </row>
    <row r="8">
      <c r="A8" s="7" t="inlineStr">
        <is>
          <t>Srednja minimalna</t>
        </is>
      </c>
      <c r="B8" s="8" t="n">
        <v>-2.5</v>
      </c>
      <c r="C8" s="8" t="n">
        <v>-8.300000000000001</v>
      </c>
      <c r="D8" s="8" t="n">
        <v>-1.4</v>
      </c>
      <c r="E8" s="8" t="n">
        <v>5.1</v>
      </c>
      <c r="F8" s="8" t="n">
        <v>11.3</v>
      </c>
      <c r="G8" s="8" t="n">
        <v>13.1</v>
      </c>
      <c r="H8" s="8" t="n">
        <v>16.4</v>
      </c>
      <c r="I8" s="8" t="n">
        <v>15.6</v>
      </c>
      <c r="J8" s="8" t="n">
        <v>13.9</v>
      </c>
      <c r="K8" s="8" t="n">
        <v>7.4</v>
      </c>
      <c r="L8" s="8" t="n">
        <v>0.6</v>
      </c>
      <c r="M8" s="8" t="n">
        <v>-0.5</v>
      </c>
      <c r="N8" s="9">
        <f>AVERAGE(B8:M8)</f>
        <v/>
      </c>
    </row>
    <row r="9">
      <c r="A9" s="7" t="inlineStr">
        <is>
          <t>Apsolutni maksimum</t>
        </is>
      </c>
      <c r="B9" s="8" t="n">
        <v>13.5</v>
      </c>
      <c r="C9" s="8" t="n">
        <v>10.2</v>
      </c>
      <c r="D9" s="8" t="n">
        <v>20.7</v>
      </c>
      <c r="E9" s="8" t="n">
        <v>22.7</v>
      </c>
      <c r="F9" s="8" t="n">
        <v>28.1</v>
      </c>
      <c r="G9" s="8" t="n">
        <v>31.7</v>
      </c>
      <c r="H9" s="8" t="n">
        <v>35.8</v>
      </c>
      <c r="I9" s="8" t="n">
        <v>35.2</v>
      </c>
      <c r="J9" s="8" t="n">
        <v>28.9</v>
      </c>
      <c r="K9" s="8" t="n">
        <v>22.3</v>
      </c>
      <c r="L9" s="8" t="n">
        <v>15.1</v>
      </c>
      <c r="M9" s="8" t="n">
        <v>13</v>
      </c>
      <c r="N9" s="9">
        <f>MAX(B9:M9)</f>
        <v/>
      </c>
    </row>
    <row r="10">
      <c r="A10" s="7" t="inlineStr">
        <is>
          <t>Apsolutni minimum</t>
        </is>
      </c>
      <c r="B10" s="8" t="n">
        <v>-9.199999999999999</v>
      </c>
      <c r="C10" s="8" t="n">
        <v>-23.6</v>
      </c>
      <c r="D10" s="8" t="n">
        <v>-11.8</v>
      </c>
      <c r="E10" s="8" t="n">
        <v>-0.8</v>
      </c>
      <c r="F10" s="8" t="n">
        <v>4.2</v>
      </c>
      <c r="G10" s="8" t="n">
        <v>7.3</v>
      </c>
      <c r="H10" s="8" t="n">
        <v>12.1</v>
      </c>
      <c r="I10" s="8" t="n">
        <v>9.699999999999999</v>
      </c>
      <c r="J10" s="8" t="n">
        <v>11.1</v>
      </c>
      <c r="K10" s="8" t="n">
        <v>-1.8</v>
      </c>
      <c r="L10" s="8" t="n">
        <v>-4.2</v>
      </c>
      <c r="M10" s="8" t="n">
        <v>-8.699999999999999</v>
      </c>
      <c r="N10" s="9">
        <f>MIN(B10:M10)</f>
        <v/>
      </c>
    </row>
    <row r="11">
      <c r="A11" s="7" t="inlineStr">
        <is>
          <t>Sr. br. mraznih dana</t>
        </is>
      </c>
      <c r="B11" s="10" t="n">
        <v>25</v>
      </c>
      <c r="C11" s="10" t="n">
        <v>25</v>
      </c>
      <c r="D11" s="10" t="n">
        <v>18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2</v>
      </c>
      <c r="L11" s="10" t="n">
        <v>15</v>
      </c>
      <c r="M11" s="10" t="n">
        <v>19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8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81.5</v>
      </c>
      <c r="C14" s="8" t="n">
        <v>82.59999999999999</v>
      </c>
      <c r="D14" s="8" t="n">
        <v>74.40000000000001</v>
      </c>
      <c r="E14" s="8" t="n">
        <v>69.90000000000001</v>
      </c>
      <c r="F14" s="8" t="n">
        <v>75.90000000000001</v>
      </c>
      <c r="G14" s="8" t="n">
        <v>71.7</v>
      </c>
      <c r="H14" s="8" t="n">
        <v>73.90000000000001</v>
      </c>
      <c r="I14" s="8" t="n">
        <v>77.3</v>
      </c>
      <c r="J14" s="8" t="n">
        <v>79</v>
      </c>
      <c r="K14" s="8" t="n">
        <v>79.2</v>
      </c>
      <c r="L14" s="8" t="n">
        <v>83.40000000000001</v>
      </c>
      <c r="M14" s="8" t="n">
        <v>83.7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188.6</v>
      </c>
      <c r="C16" s="8" t="n">
        <v>163</v>
      </c>
      <c r="D16" s="8" t="n">
        <v>280.8</v>
      </c>
      <c r="E16" s="8" t="n">
        <v>306.6</v>
      </c>
      <c r="F16" s="8" t="n">
        <v>310.8</v>
      </c>
      <c r="G16" s="8" t="n">
        <v>364.7</v>
      </c>
      <c r="H16" s="8" t="n">
        <v>360.8</v>
      </c>
      <c r="I16" s="8" t="n">
        <v>329.5</v>
      </c>
      <c r="J16" s="8" t="n">
        <v>242.8</v>
      </c>
      <c r="K16" s="8" t="n">
        <v>261.2</v>
      </c>
      <c r="L16" s="8" t="n">
        <v>197.1</v>
      </c>
      <c r="M16" s="8" t="n">
        <v>138.1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5</v>
      </c>
      <c r="D17" s="10" t="n">
        <v>6</v>
      </c>
      <c r="E17" s="10" t="n">
        <v>5</v>
      </c>
      <c r="F17" s="10" t="n">
        <v>2</v>
      </c>
      <c r="G17" s="10" t="n">
        <v>6</v>
      </c>
      <c r="H17" s="10" t="n">
        <v>9</v>
      </c>
      <c r="I17" s="10" t="n">
        <v>4</v>
      </c>
      <c r="J17" s="10" t="n">
        <v>2</v>
      </c>
      <c r="K17" s="10" t="n">
        <v>5</v>
      </c>
      <c r="L17" s="10" t="n">
        <v>2</v>
      </c>
      <c r="M17" s="10" t="n">
        <v>0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16</v>
      </c>
      <c r="D18" s="10" t="n">
        <v>11</v>
      </c>
      <c r="E18" s="10" t="n">
        <v>8</v>
      </c>
      <c r="F18" s="10" t="n">
        <v>7</v>
      </c>
      <c r="G18" s="10" t="n">
        <v>4</v>
      </c>
      <c r="H18" s="10" t="n">
        <v>4</v>
      </c>
      <c r="I18" s="10" t="n">
        <v>8</v>
      </c>
      <c r="J18" s="10" t="n">
        <v>11</v>
      </c>
      <c r="K18" s="10" t="n">
        <v>5</v>
      </c>
      <c r="L18" s="10" t="n">
        <v>11</v>
      </c>
      <c r="M18" s="10" t="n">
        <v>15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54.8</v>
      </c>
      <c r="C20" s="8" t="n">
        <v>61.9</v>
      </c>
      <c r="D20" s="8" t="n">
        <v>70.09999999999999</v>
      </c>
      <c r="E20" s="8" t="n">
        <v>67.59999999999999</v>
      </c>
      <c r="F20" s="8" t="n">
        <v>110.2</v>
      </c>
      <c r="G20" s="8" t="n">
        <v>80.7</v>
      </c>
      <c r="H20" s="8" t="n">
        <v>95.90000000000001</v>
      </c>
      <c r="I20" s="8" t="n">
        <v>128.2</v>
      </c>
      <c r="J20" s="8" t="n">
        <v>74.5</v>
      </c>
      <c r="K20" s="8" t="n">
        <v>50.2</v>
      </c>
      <c r="L20" s="8" t="n">
        <v>47.7</v>
      </c>
      <c r="M20" s="8" t="n">
        <v>84.90000000000001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9.199999999999999</v>
      </c>
      <c r="C21" s="8" t="n">
        <v>14.1</v>
      </c>
      <c r="D21" s="8" t="n">
        <v>13.7</v>
      </c>
      <c r="E21" s="8" t="n">
        <v>12.9</v>
      </c>
      <c r="F21" s="8" t="n">
        <v>17.1</v>
      </c>
      <c r="G21" s="8" t="n">
        <v>24.7</v>
      </c>
      <c r="H21" s="8" t="n">
        <v>19.4</v>
      </c>
      <c r="I21" s="8" t="n">
        <v>36.1</v>
      </c>
      <c r="J21" s="8" t="n">
        <v>16</v>
      </c>
      <c r="K21" s="8" t="n">
        <v>27.7</v>
      </c>
      <c r="L21" s="8" t="n">
        <v>9.199999999999999</v>
      </c>
      <c r="M21" s="8" t="n">
        <v>18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13</v>
      </c>
      <c r="D22" s="10" t="n">
        <v>17</v>
      </c>
      <c r="E22" s="10" t="n">
        <v>16</v>
      </c>
      <c r="F22" s="10" t="n">
        <v>21</v>
      </c>
      <c r="G22" s="10" t="n">
        <v>20</v>
      </c>
      <c r="H22" s="10" t="n">
        <v>21</v>
      </c>
      <c r="I22" s="10" t="n">
        <v>24</v>
      </c>
      <c r="J22" s="10" t="n">
        <v>22</v>
      </c>
      <c r="K22" s="10" t="n">
        <v>14</v>
      </c>
      <c r="L22" s="10" t="n">
        <v>16</v>
      </c>
      <c r="M22" s="10" t="n">
        <v>21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2</v>
      </c>
      <c r="D23" s="10" t="n">
        <v>2</v>
      </c>
      <c r="E23" s="10" t="n">
        <v>2</v>
      </c>
      <c r="F23" s="10" t="n">
        <v>3</v>
      </c>
      <c r="G23" s="10" t="n">
        <v>2</v>
      </c>
      <c r="H23" s="10" t="n">
        <v>4</v>
      </c>
      <c r="I23" s="10" t="n">
        <v>3</v>
      </c>
      <c r="J23" s="10" t="n">
        <v>3</v>
      </c>
      <c r="K23" s="10" t="n">
        <v>1</v>
      </c>
      <c r="L23" s="10" t="n">
        <v>0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19</v>
      </c>
      <c r="C25" s="10" t="n">
        <v>15</v>
      </c>
      <c r="D25" s="10" t="n">
        <v>9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8</v>
      </c>
      <c r="M25" s="10" t="n">
        <v>13</v>
      </c>
      <c r="N25" s="11">
        <f>SUM(B25:M25)</f>
        <v/>
      </c>
    </row>
    <row r="26">
      <c r="A26" s="7" t="inlineStr">
        <is>
          <t>snežnim pokrivačem</t>
        </is>
      </c>
      <c r="B26" s="10" t="n">
        <v>19</v>
      </c>
      <c r="C26" s="10" t="n">
        <v>15</v>
      </c>
      <c r="D26" s="10" t="n">
        <v>9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8</v>
      </c>
      <c r="M26" s="10" t="n">
        <v>13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2006.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-1.3</v>
      </c>
      <c r="C6" s="8" t="n">
        <v>0.3</v>
      </c>
      <c r="D6" s="8" t="n">
        <v>4.3</v>
      </c>
      <c r="E6" s="8" t="n">
        <v>12.2</v>
      </c>
      <c r="F6" s="8" t="n">
        <v>16.2</v>
      </c>
      <c r="G6" s="8" t="n">
        <v>19.4</v>
      </c>
      <c r="H6" s="8" t="n">
        <v>23.2</v>
      </c>
      <c r="I6" s="8" t="n">
        <v>21.4</v>
      </c>
      <c r="J6" s="8" t="n">
        <v>18.1</v>
      </c>
      <c r="K6" s="8" t="n">
        <v>13.5</v>
      </c>
      <c r="L6" s="8" t="n">
        <v>6.5</v>
      </c>
      <c r="M6" s="8" t="n">
        <v>2.2</v>
      </c>
      <c r="N6" s="9">
        <f>AVERAGE(B6:M6)</f>
        <v/>
      </c>
    </row>
    <row r="7">
      <c r="A7" s="7" t="inlineStr">
        <is>
          <t>Srednja maksimalna</t>
        </is>
      </c>
      <c r="B7" s="8" t="n">
        <v>2.7</v>
      </c>
      <c r="C7" s="8" t="n">
        <v>5.3</v>
      </c>
      <c r="D7" s="8" t="n">
        <v>10.3</v>
      </c>
      <c r="E7" s="8" t="n">
        <v>17.1</v>
      </c>
      <c r="F7" s="8" t="n">
        <v>21.7</v>
      </c>
      <c r="G7" s="8" t="n">
        <v>24.2</v>
      </c>
      <c r="H7" s="8" t="n">
        <v>27.8</v>
      </c>
      <c r="I7" s="8" t="n">
        <v>26.5</v>
      </c>
      <c r="J7" s="8" t="n">
        <v>23</v>
      </c>
      <c r="K7" s="8" t="n">
        <v>19</v>
      </c>
      <c r="L7" s="8" t="n">
        <v>12.1</v>
      </c>
      <c r="M7" s="8" t="n">
        <v>6.6</v>
      </c>
      <c r="N7" s="9">
        <f>AVERAGE(B7:M7)</f>
        <v/>
      </c>
    </row>
    <row r="8">
      <c r="A8" s="7" t="inlineStr">
        <is>
          <t>Srednja minimalna</t>
        </is>
      </c>
      <c r="B8" s="8" t="n">
        <v>-4.7</v>
      </c>
      <c r="C8" s="8" t="n">
        <v>-4.1</v>
      </c>
      <c r="D8" s="8" t="n">
        <v>-1.4</v>
      </c>
      <c r="E8" s="8" t="n">
        <v>7.1</v>
      </c>
      <c r="F8" s="8" t="n">
        <v>10</v>
      </c>
      <c r="G8" s="8" t="n">
        <v>13.9</v>
      </c>
      <c r="H8" s="8" t="n">
        <v>18</v>
      </c>
      <c r="I8" s="8" t="n">
        <v>16</v>
      </c>
      <c r="J8" s="8" t="n">
        <v>13.1</v>
      </c>
      <c r="K8" s="8" t="n">
        <v>8.300000000000001</v>
      </c>
      <c r="L8" s="8" t="n">
        <v>1.9</v>
      </c>
      <c r="M8" s="8" t="n">
        <v>-1</v>
      </c>
      <c r="N8" s="9">
        <f>AVERAGE(B8:M8)</f>
        <v/>
      </c>
    </row>
    <row r="9">
      <c r="A9" s="7" t="inlineStr">
        <is>
          <t>Apsolutni maksimum</t>
        </is>
      </c>
      <c r="B9" s="8" t="n">
        <v>9.6</v>
      </c>
      <c r="C9" s="8" t="n">
        <v>16.1</v>
      </c>
      <c r="D9" s="8" t="n">
        <v>23.1</v>
      </c>
      <c r="E9" s="8" t="n">
        <v>22.6</v>
      </c>
      <c r="F9" s="8" t="n">
        <v>30.7</v>
      </c>
      <c r="G9" s="8" t="n">
        <v>33</v>
      </c>
      <c r="H9" s="8" t="n">
        <v>33.3</v>
      </c>
      <c r="I9" s="8" t="n">
        <v>35.8</v>
      </c>
      <c r="J9" s="8" t="n">
        <v>29.4</v>
      </c>
      <c r="K9" s="8" t="n">
        <v>27.6</v>
      </c>
      <c r="L9" s="8" t="n">
        <v>17.5</v>
      </c>
      <c r="M9" s="8" t="n">
        <v>13.7</v>
      </c>
      <c r="N9" s="9">
        <f>MAX(B9:M9)</f>
        <v/>
      </c>
    </row>
    <row r="10">
      <c r="A10" s="7" t="inlineStr">
        <is>
          <t>Apsolutni minimum</t>
        </is>
      </c>
      <c r="B10" s="8" t="n">
        <v>-18.1</v>
      </c>
      <c r="C10" s="8" t="n">
        <v>-12.4</v>
      </c>
      <c r="D10" s="8" t="n">
        <v>-16.6</v>
      </c>
      <c r="E10" s="8" t="n">
        <v>-0.4</v>
      </c>
      <c r="F10" s="8" t="n">
        <v>5.5</v>
      </c>
      <c r="G10" s="8" t="n">
        <v>8.5</v>
      </c>
      <c r="H10" s="8" t="n">
        <v>12.7</v>
      </c>
      <c r="I10" s="8" t="n">
        <v>9</v>
      </c>
      <c r="J10" s="8" t="n">
        <v>9.5</v>
      </c>
      <c r="K10" s="8" t="n">
        <v>-0.3</v>
      </c>
      <c r="L10" s="8" t="n">
        <v>-2.3</v>
      </c>
      <c r="M10" s="8" t="n">
        <v>-4.4</v>
      </c>
      <c r="N10" s="9">
        <f>MIN(B10:M10)</f>
        <v/>
      </c>
    </row>
    <row r="11">
      <c r="A11" s="7" t="inlineStr">
        <is>
          <t>Sr. br. mraznih dana</t>
        </is>
      </c>
      <c r="B11" s="10" t="n">
        <v>26</v>
      </c>
      <c r="C11" s="10" t="n">
        <v>22</v>
      </c>
      <c r="D11" s="10" t="n">
        <v>20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5</v>
      </c>
      <c r="M11" s="10" t="n">
        <v>23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2</v>
      </c>
      <c r="G12" s="10" t="n">
        <v>7</v>
      </c>
      <c r="H12" s="10" t="n">
        <v>11</v>
      </c>
      <c r="I12" s="10" t="n">
        <v>8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74.8</v>
      </c>
      <c r="C14" s="8" t="n">
        <v>81.40000000000001</v>
      </c>
      <c r="D14" s="8" t="n">
        <v>79.5</v>
      </c>
      <c r="E14" s="8" t="n">
        <v>76.2</v>
      </c>
      <c r="F14" s="8" t="n">
        <v>71.5</v>
      </c>
      <c r="G14" s="8" t="n">
        <v>76.59999999999999</v>
      </c>
      <c r="H14" s="8" t="n">
        <v>65</v>
      </c>
      <c r="I14" s="8" t="n">
        <v>70.90000000000001</v>
      </c>
      <c r="J14" s="8" t="n">
        <v>72.5</v>
      </c>
      <c r="K14" s="8" t="n">
        <v>76.40000000000001</v>
      </c>
      <c r="L14" s="8" t="n">
        <v>79.3</v>
      </c>
      <c r="M14" s="8" t="n">
        <v>85.8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197.9</v>
      </c>
      <c r="C16" s="8" t="n">
        <v>168.9</v>
      </c>
      <c r="D16" s="8" t="n">
        <v>238.4</v>
      </c>
      <c r="E16" s="8" t="n">
        <v>271.9</v>
      </c>
      <c r="F16" s="8" t="n">
        <v>371.3</v>
      </c>
      <c r="G16" s="8" t="n">
        <v>351.2</v>
      </c>
      <c r="H16" s="8" t="n">
        <v>418</v>
      </c>
      <c r="I16" s="8" t="n">
        <v>351.8</v>
      </c>
      <c r="J16" s="8" t="n">
        <v>299.9</v>
      </c>
      <c r="K16" s="8" t="n">
        <v>284.9</v>
      </c>
      <c r="L16" s="8" t="n">
        <v>228.6</v>
      </c>
      <c r="M16" s="8" t="n">
        <v>170.8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2</v>
      </c>
      <c r="D17" s="10" t="n">
        <v>3</v>
      </c>
      <c r="E17" s="10" t="n">
        <v>3</v>
      </c>
      <c r="F17" s="10" t="n">
        <v>3</v>
      </c>
      <c r="G17" s="10" t="n">
        <v>3</v>
      </c>
      <c r="H17" s="10" t="n">
        <v>11</v>
      </c>
      <c r="I17" s="10" t="n">
        <v>7</v>
      </c>
      <c r="J17" s="10" t="n">
        <v>9</v>
      </c>
      <c r="K17" s="10" t="n">
        <v>9</v>
      </c>
      <c r="L17" s="10" t="n">
        <v>7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12</v>
      </c>
      <c r="C18" s="10" t="n">
        <v>15</v>
      </c>
      <c r="D18" s="10" t="n">
        <v>12</v>
      </c>
      <c r="E18" s="10" t="n">
        <v>17</v>
      </c>
      <c r="F18" s="10" t="n">
        <v>4</v>
      </c>
      <c r="G18" s="10" t="n">
        <v>7</v>
      </c>
      <c r="H18" s="10" t="n">
        <v>3</v>
      </c>
      <c r="I18" s="10" t="n">
        <v>4</v>
      </c>
      <c r="J18" s="10" t="n">
        <v>8</v>
      </c>
      <c r="K18" s="10" t="n">
        <v>4</v>
      </c>
      <c r="L18" s="10" t="n">
        <v>6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38.8</v>
      </c>
      <c r="C20" s="8" t="n">
        <v>61.6</v>
      </c>
      <c r="D20" s="8" t="n">
        <v>122.7</v>
      </c>
      <c r="E20" s="8" t="n">
        <v>119.2</v>
      </c>
      <c r="F20" s="8" t="n">
        <v>70.2</v>
      </c>
      <c r="G20" s="8" t="n">
        <v>128.9</v>
      </c>
      <c r="H20" s="8" t="n">
        <v>24.7</v>
      </c>
      <c r="I20" s="8" t="n">
        <v>124.3</v>
      </c>
      <c r="J20" s="8" t="n">
        <v>41.9</v>
      </c>
      <c r="K20" s="8" t="n">
        <v>38.9</v>
      </c>
      <c r="L20" s="8" t="n">
        <v>39.1</v>
      </c>
      <c r="M20" s="8" t="n">
        <v>50</v>
      </c>
      <c r="N20" s="9">
        <f>SUM(B20:M20)</f>
        <v/>
      </c>
    </row>
    <row r="21">
      <c r="A21" s="7" t="inlineStr">
        <is>
          <t>Max. dnevna suma</t>
        </is>
      </c>
      <c r="B21" s="8" t="n">
        <v>9.9</v>
      </c>
      <c r="C21" s="8" t="n">
        <v>11.6</v>
      </c>
      <c r="D21" s="8" t="n">
        <v>31.8</v>
      </c>
      <c r="E21" s="8" t="n">
        <v>36.6</v>
      </c>
      <c r="F21" s="8" t="n">
        <v>19.4</v>
      </c>
      <c r="G21" s="8" t="n">
        <v>26.1</v>
      </c>
      <c r="H21" s="8" t="n">
        <v>5.4</v>
      </c>
      <c r="I21" s="8" t="n">
        <v>19.9</v>
      </c>
      <c r="J21" s="8" t="n">
        <v>13.3</v>
      </c>
      <c r="K21" s="8" t="n">
        <v>15.4</v>
      </c>
      <c r="L21" s="8" t="n">
        <v>9.199999999999999</v>
      </c>
      <c r="M21" s="8" t="n">
        <v>12.5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18</v>
      </c>
      <c r="D22" s="10" t="n">
        <v>20</v>
      </c>
      <c r="E22" s="10" t="n">
        <v>22</v>
      </c>
      <c r="F22" s="10" t="n">
        <v>19</v>
      </c>
      <c r="G22" s="10" t="n">
        <v>24</v>
      </c>
      <c r="H22" s="10" t="n">
        <v>19</v>
      </c>
      <c r="I22" s="10" t="n">
        <v>18</v>
      </c>
      <c r="J22" s="10" t="n">
        <v>14</v>
      </c>
      <c r="K22" s="10" t="n">
        <v>6</v>
      </c>
      <c r="L22" s="10" t="n">
        <v>11</v>
      </c>
      <c r="M22" s="10" t="n">
        <v>11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2</v>
      </c>
      <c r="D23" s="10" t="n">
        <v>3</v>
      </c>
      <c r="E23" s="10" t="n">
        <v>3</v>
      </c>
      <c r="F23" s="10" t="n">
        <v>2</v>
      </c>
      <c r="G23" s="10" t="n">
        <v>5</v>
      </c>
      <c r="H23" s="10" t="n">
        <v>0</v>
      </c>
      <c r="I23" s="10" t="n">
        <v>6</v>
      </c>
      <c r="J23" s="10" t="n">
        <v>1</v>
      </c>
      <c r="K23" s="10" t="n">
        <v>2</v>
      </c>
      <c r="L23" s="10" t="n">
        <v>0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9</v>
      </c>
      <c r="C25" s="10" t="n">
        <v>13</v>
      </c>
      <c r="D25" s="10" t="n">
        <v>13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6</v>
      </c>
      <c r="M25" s="10" t="n">
        <v>11</v>
      </c>
      <c r="N25" s="11">
        <f>SUM(B25:M25)</f>
        <v/>
      </c>
    </row>
    <row r="26">
      <c r="A26" s="7" t="inlineStr">
        <is>
          <t>snežnim pokrivačem</t>
        </is>
      </c>
      <c r="B26" s="10" t="n">
        <v>9</v>
      </c>
      <c r="C26" s="10" t="n">
        <v>13</v>
      </c>
      <c r="D26" s="10" t="n">
        <v>13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6</v>
      </c>
      <c r="M26" s="10" t="n">
        <v>11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2007.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4.3</v>
      </c>
      <c r="C6" s="8" t="n">
        <v>5.1</v>
      </c>
      <c r="D6" s="8" t="n">
        <v>8.5</v>
      </c>
      <c r="E6" s="8" t="n">
        <v>13.1</v>
      </c>
      <c r="F6" s="8" t="n">
        <v>18</v>
      </c>
      <c r="G6" s="8" t="n">
        <v>22.3</v>
      </c>
      <c r="H6" s="8" t="n">
        <v>25.3</v>
      </c>
      <c r="I6" s="8" t="n">
        <v>23.6</v>
      </c>
      <c r="J6" s="8" t="n">
        <v>16.2</v>
      </c>
      <c r="K6" s="8" t="n">
        <v>11.3</v>
      </c>
      <c r="L6" s="8" t="n">
        <v>3.4</v>
      </c>
      <c r="M6" s="8" t="n">
        <v>-0.6</v>
      </c>
      <c r="N6" s="9">
        <f>AVERAGE(B6:M6)</f>
        <v/>
      </c>
    </row>
    <row r="7">
      <c r="A7" s="7" t="inlineStr">
        <is>
          <t>Srednja maksimalna</t>
        </is>
      </c>
      <c r="B7" s="8" t="n">
        <v>9.800000000000001</v>
      </c>
      <c r="C7" s="8" t="n">
        <v>10.3</v>
      </c>
      <c r="D7" s="8" t="n">
        <v>14.1</v>
      </c>
      <c r="E7" s="8" t="n">
        <v>18.9</v>
      </c>
      <c r="F7" s="8" t="n">
        <v>23.2</v>
      </c>
      <c r="G7" s="8" t="n">
        <v>27.6</v>
      </c>
      <c r="H7" s="8" t="n">
        <v>31.2</v>
      </c>
      <c r="I7" s="8" t="n">
        <v>29.3</v>
      </c>
      <c r="J7" s="8" t="n">
        <v>21.2</v>
      </c>
      <c r="K7" s="8" t="n">
        <v>15.2</v>
      </c>
      <c r="L7" s="8" t="n">
        <v>7.4</v>
      </c>
      <c r="M7" s="8" t="n">
        <v>3.3</v>
      </c>
      <c r="N7" s="9">
        <f>AVERAGE(B7:M7)</f>
        <v/>
      </c>
    </row>
    <row r="8">
      <c r="A8" s="7" t="inlineStr">
        <is>
          <t>Srednja minimalna</t>
        </is>
      </c>
      <c r="B8" s="8" t="n">
        <v>0.1</v>
      </c>
      <c r="C8" s="8" t="n">
        <v>0.8</v>
      </c>
      <c r="D8" s="8" t="n">
        <v>3.4</v>
      </c>
      <c r="E8" s="8" t="n">
        <v>6.5</v>
      </c>
      <c r="F8" s="8" t="n">
        <v>12.5</v>
      </c>
      <c r="G8" s="8" t="n">
        <v>16.1</v>
      </c>
      <c r="H8" s="8" t="n">
        <v>18</v>
      </c>
      <c r="I8" s="8" t="n">
        <v>17.4</v>
      </c>
      <c r="J8" s="8" t="n">
        <v>11.3</v>
      </c>
      <c r="K8" s="8" t="n">
        <v>7.7</v>
      </c>
      <c r="L8" s="8" t="n">
        <v>-0.1</v>
      </c>
      <c r="M8" s="8" t="n">
        <v>-3.8</v>
      </c>
      <c r="N8" s="9">
        <f>AVERAGE(B8:M8)</f>
        <v/>
      </c>
    </row>
    <row r="9">
      <c r="A9" s="7" t="inlineStr">
        <is>
          <t>Apsolutni maksimum</t>
        </is>
      </c>
      <c r="B9" s="8" t="n">
        <v>16.8</v>
      </c>
      <c r="C9" s="8" t="n">
        <v>16.9</v>
      </c>
      <c r="D9" s="8" t="n">
        <v>18.7</v>
      </c>
      <c r="E9" s="8" t="n">
        <v>23.5</v>
      </c>
      <c r="F9" s="8" t="n">
        <v>30.7</v>
      </c>
      <c r="G9" s="8" t="n">
        <v>37.4</v>
      </c>
      <c r="H9" s="8" t="n">
        <v>41.1</v>
      </c>
      <c r="I9" s="8" t="n">
        <v>37.7</v>
      </c>
      <c r="J9" s="8" t="n">
        <v>30</v>
      </c>
      <c r="K9" s="8" t="n">
        <v>25.3</v>
      </c>
      <c r="L9" s="8" t="n">
        <v>14.4</v>
      </c>
      <c r="M9" s="8" t="n">
        <v>11.7</v>
      </c>
      <c r="N9" s="9">
        <f>MAX(B9:M9)</f>
        <v/>
      </c>
    </row>
    <row r="10">
      <c r="A10" s="7" t="inlineStr">
        <is>
          <t>Apsolutni minimum</t>
        </is>
      </c>
      <c r="B10" s="8" t="n">
        <v>-3.5</v>
      </c>
      <c r="C10" s="8" t="n">
        <v>-3.4</v>
      </c>
      <c r="D10" s="8" t="n">
        <v>0.4</v>
      </c>
      <c r="E10" s="8" t="n">
        <v>1.5</v>
      </c>
      <c r="F10" s="8" t="n">
        <v>6.6</v>
      </c>
      <c r="G10" s="8" t="n">
        <v>9.800000000000001</v>
      </c>
      <c r="H10" s="8" t="n">
        <v>12.8</v>
      </c>
      <c r="I10" s="8" t="n">
        <v>13</v>
      </c>
      <c r="J10" s="8" t="n">
        <v>7.3</v>
      </c>
      <c r="K10" s="8" t="n">
        <v>0.2</v>
      </c>
      <c r="L10" s="8" t="n">
        <v>-5.7</v>
      </c>
      <c r="M10" s="8" t="n">
        <v>-11.9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12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14</v>
      </c>
      <c r="M11" s="10" t="n">
        <v>24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2</v>
      </c>
      <c r="G12" s="10" t="n">
        <v>5</v>
      </c>
      <c r="H12" s="10" t="n">
        <v>20</v>
      </c>
      <c r="I12" s="10" t="n">
        <v>13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80.40000000000001</v>
      </c>
      <c r="C14" s="8" t="n">
        <v>79.09999999999999</v>
      </c>
      <c r="D14" s="8" t="n">
        <v>72.59999999999999</v>
      </c>
      <c r="E14" s="8" t="n">
        <v>58.7</v>
      </c>
      <c r="F14" s="8" t="n">
        <v>73.09999999999999</v>
      </c>
      <c r="G14" s="8" t="n">
        <v>69.09999999999999</v>
      </c>
      <c r="H14" s="8" t="n">
        <v>48.8</v>
      </c>
      <c r="I14" s="8" t="n">
        <v>63.6</v>
      </c>
      <c r="J14" s="8" t="n">
        <v>69.09999999999999</v>
      </c>
      <c r="K14" s="8" t="n">
        <v>82.40000000000001</v>
      </c>
      <c r="L14" s="8" t="n">
        <v>82.90000000000001</v>
      </c>
      <c r="M14" s="8" t="n">
        <v>84.90000000000001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217</v>
      </c>
      <c r="C16" s="8" t="n">
        <v>208.8</v>
      </c>
      <c r="D16" s="8" t="n">
        <v>287.6</v>
      </c>
      <c r="E16" s="8" t="n">
        <v>371.4</v>
      </c>
      <c r="F16" s="8" t="n">
        <v>318.7</v>
      </c>
      <c r="G16" s="8" t="n">
        <v>400.2</v>
      </c>
      <c r="H16" s="8" t="n">
        <v>437.3</v>
      </c>
      <c r="I16" s="8" t="n">
        <v>364.7</v>
      </c>
      <c r="J16" s="8" t="n">
        <v>256.4</v>
      </c>
      <c r="K16" s="8" t="n">
        <v>157.5</v>
      </c>
      <c r="L16" s="8" t="n">
        <v>169</v>
      </c>
      <c r="M16" s="8" t="n">
        <v>184.5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0</v>
      </c>
      <c r="D17" s="10" t="n">
        <v>2</v>
      </c>
      <c r="E17" s="10" t="n">
        <v>18</v>
      </c>
      <c r="F17" s="10" t="n">
        <v>3</v>
      </c>
      <c r="G17" s="10" t="n">
        <v>6</v>
      </c>
      <c r="H17" s="10" t="n">
        <v>21</v>
      </c>
      <c r="I17" s="10" t="n">
        <v>13</v>
      </c>
      <c r="J17" s="10" t="n">
        <v>6</v>
      </c>
      <c r="K17" s="10" t="n">
        <v>3</v>
      </c>
      <c r="L17" s="10" t="n">
        <v>4</v>
      </c>
      <c r="M17" s="10" t="n">
        <v>0</v>
      </c>
      <c r="N17" s="11">
        <f>SUM(B17:M17)</f>
        <v/>
      </c>
    </row>
    <row r="18">
      <c r="A18" s="7" t="inlineStr">
        <is>
          <t>Broj oblačnih dana</t>
        </is>
      </c>
      <c r="B18" s="10" t="n">
        <v>9</v>
      </c>
      <c r="C18" s="10" t="n">
        <v>6</v>
      </c>
      <c r="D18" s="10" t="n">
        <v>12</v>
      </c>
      <c r="E18" s="10" t="n">
        <v>1</v>
      </c>
      <c r="F18" s="10" t="n">
        <v>12</v>
      </c>
      <c r="G18" s="10" t="n">
        <v>4</v>
      </c>
      <c r="H18" s="10" t="n">
        <v>1</v>
      </c>
      <c r="I18" s="10" t="n">
        <v>3</v>
      </c>
      <c r="J18" s="10" t="n">
        <v>9</v>
      </c>
      <c r="K18" s="10" t="n">
        <v>19</v>
      </c>
      <c r="L18" s="10" t="n">
        <v>13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37.8</v>
      </c>
      <c r="C20" s="8" t="n">
        <v>55.4</v>
      </c>
      <c r="D20" s="8" t="n">
        <v>60.1</v>
      </c>
      <c r="E20" s="8" t="n">
        <v>6.2</v>
      </c>
      <c r="F20" s="8" t="n">
        <v>154.6</v>
      </c>
      <c r="G20" s="8" t="n">
        <v>68.90000000000001</v>
      </c>
      <c r="H20" s="8" t="n">
        <v>9.300000000000001</v>
      </c>
      <c r="I20" s="8" t="n">
        <v>65.7</v>
      </c>
      <c r="J20" s="8" t="n">
        <v>64.8</v>
      </c>
      <c r="K20" s="8" t="n">
        <v>130.7</v>
      </c>
      <c r="L20" s="8" t="n">
        <v>131.9</v>
      </c>
      <c r="M20" s="8" t="n">
        <v>37.1</v>
      </c>
      <c r="N20" s="9">
        <f>SUM(B20:M20)</f>
        <v/>
      </c>
    </row>
    <row r="21">
      <c r="A21" s="7" t="inlineStr">
        <is>
          <t>Max. dnevna suma</t>
        </is>
      </c>
      <c r="B21" s="8" t="n">
        <v>10.4</v>
      </c>
      <c r="C21" s="8" t="n">
        <v>9.699999999999999</v>
      </c>
      <c r="D21" s="8" t="n">
        <v>28.9</v>
      </c>
      <c r="E21" s="8" t="n">
        <v>2.9</v>
      </c>
      <c r="F21" s="8" t="n">
        <v>27.7</v>
      </c>
      <c r="G21" s="8" t="n">
        <v>23.1</v>
      </c>
      <c r="H21" s="8" t="n">
        <v>7.5</v>
      </c>
      <c r="I21" s="8" t="n">
        <v>19</v>
      </c>
      <c r="J21" s="8" t="n">
        <v>15.2</v>
      </c>
      <c r="K21" s="8" t="n">
        <v>22.1</v>
      </c>
      <c r="L21" s="8" t="n">
        <v>45.4</v>
      </c>
      <c r="M21" s="8" t="n">
        <v>13.1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12</v>
      </c>
      <c r="C22" s="10" t="n">
        <v>18</v>
      </c>
      <c r="D22" s="10" t="n">
        <v>15</v>
      </c>
      <c r="E22" s="10" t="n">
        <v>7</v>
      </c>
      <c r="F22" s="10" t="n">
        <v>23</v>
      </c>
      <c r="G22" s="10" t="n">
        <v>17</v>
      </c>
      <c r="H22" s="10" t="n">
        <v>3</v>
      </c>
      <c r="I22" s="10" t="n">
        <v>13</v>
      </c>
      <c r="J22" s="10" t="n">
        <v>17</v>
      </c>
      <c r="K22" s="10" t="n">
        <v>18</v>
      </c>
      <c r="L22" s="10" t="n">
        <v>19</v>
      </c>
      <c r="M22" s="10" t="n">
        <v>13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0</v>
      </c>
      <c r="D23" s="10" t="n">
        <v>1</v>
      </c>
      <c r="E23" s="10" t="n">
        <v>0</v>
      </c>
      <c r="F23" s="10" t="n">
        <v>5</v>
      </c>
      <c r="G23" s="10" t="n">
        <v>3</v>
      </c>
      <c r="H23" s="10" t="n">
        <v>0</v>
      </c>
      <c r="I23" s="10" t="n">
        <v>1</v>
      </c>
      <c r="J23" s="10" t="n">
        <v>3</v>
      </c>
      <c r="K23" s="10" t="n">
        <v>7</v>
      </c>
      <c r="L23" s="10" t="n">
        <v>3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8</v>
      </c>
      <c r="D25" s="10" t="n">
        <v>4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3</v>
      </c>
      <c r="L25" s="10" t="n">
        <v>11</v>
      </c>
      <c r="M25" s="10" t="n">
        <v>8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8</v>
      </c>
      <c r="D26" s="10" t="n">
        <v>4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3</v>
      </c>
      <c r="L26" s="10" t="n">
        <v>11</v>
      </c>
      <c r="M26" s="10" t="n">
        <v>8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2008.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0.5</v>
      </c>
      <c r="C6" s="8" t="n">
        <v>4</v>
      </c>
      <c r="D6" s="8" t="n">
        <v>7.7</v>
      </c>
      <c r="E6" s="8" t="n">
        <v>12.3</v>
      </c>
      <c r="F6" s="8" t="n">
        <v>17.5</v>
      </c>
      <c r="G6" s="8" t="n">
        <v>21.6</v>
      </c>
      <c r="H6" s="8" t="n">
        <v>22.4</v>
      </c>
      <c r="I6" s="8" t="n">
        <v>23.7</v>
      </c>
      <c r="J6" s="8" t="n">
        <v>16.2</v>
      </c>
      <c r="K6" s="8" t="n">
        <v>13.1</v>
      </c>
      <c r="L6" s="8" t="n">
        <v>7.5</v>
      </c>
      <c r="M6" s="8" t="n">
        <v>3.3</v>
      </c>
      <c r="N6" s="9">
        <f>AVERAGE(B6:M6)</f>
        <v/>
      </c>
    </row>
    <row r="7">
      <c r="A7" s="7" t="inlineStr">
        <is>
          <t>Srednja maksimalna</t>
        </is>
      </c>
      <c r="B7" s="8" t="n">
        <v>5.6</v>
      </c>
      <c r="C7" s="8" t="n">
        <v>9.6</v>
      </c>
      <c r="D7" s="8" t="n">
        <v>13.6</v>
      </c>
      <c r="E7" s="8" t="n">
        <v>17.8</v>
      </c>
      <c r="F7" s="8" t="n">
        <v>22.8</v>
      </c>
      <c r="G7" s="8" t="n">
        <v>26.7</v>
      </c>
      <c r="H7" s="8" t="n">
        <v>27.5</v>
      </c>
      <c r="I7" s="8" t="n">
        <v>29.3</v>
      </c>
      <c r="J7" s="8" t="n">
        <v>20.8</v>
      </c>
      <c r="K7" s="8" t="n">
        <v>19</v>
      </c>
      <c r="L7" s="8" t="n">
        <v>12.6</v>
      </c>
      <c r="M7" s="8" t="n">
        <v>6</v>
      </c>
      <c r="N7" s="9">
        <f>AVERAGE(B7:M7)</f>
        <v/>
      </c>
    </row>
    <row r="8">
      <c r="A8" s="7" t="inlineStr">
        <is>
          <t>Srednja minimalna</t>
        </is>
      </c>
      <c r="B8" s="8" t="n">
        <v>-3.4</v>
      </c>
      <c r="C8" s="8" t="n">
        <v>-0.5</v>
      </c>
      <c r="D8" s="8" t="n">
        <v>1.9</v>
      </c>
      <c r="E8" s="8" t="n">
        <v>6.5</v>
      </c>
      <c r="F8" s="8" t="n">
        <v>10.9</v>
      </c>
      <c r="G8" s="8" t="n">
        <v>15.8</v>
      </c>
      <c r="H8" s="8" t="n">
        <v>16.5</v>
      </c>
      <c r="I8" s="8" t="n">
        <v>17.5</v>
      </c>
      <c r="J8" s="8" t="n">
        <v>11.6</v>
      </c>
      <c r="K8" s="8" t="n">
        <v>7.7</v>
      </c>
      <c r="L8" s="8" t="n">
        <v>3.4</v>
      </c>
      <c r="M8" s="8" t="n">
        <v>0.6</v>
      </c>
      <c r="N8" s="9">
        <f>AVERAGE(B8:M8)</f>
        <v/>
      </c>
    </row>
    <row r="9">
      <c r="A9" s="7" t="inlineStr">
        <is>
          <t>Apsolutni maksimum</t>
        </is>
      </c>
      <c r="B9" s="8" t="n">
        <v>15.3</v>
      </c>
      <c r="C9" s="8" t="n">
        <v>19.1</v>
      </c>
      <c r="D9" s="8" t="n">
        <v>20.3</v>
      </c>
      <c r="E9" s="8" t="n">
        <v>25.7</v>
      </c>
      <c r="F9" s="8" t="n">
        <v>33.5</v>
      </c>
      <c r="G9" s="8" t="n">
        <v>33</v>
      </c>
      <c r="H9" s="8" t="n">
        <v>37.1</v>
      </c>
      <c r="I9" s="8" t="n">
        <v>36.4</v>
      </c>
      <c r="J9" s="8" t="n">
        <v>34.8</v>
      </c>
      <c r="K9" s="8" t="n">
        <v>23.3</v>
      </c>
      <c r="L9" s="8" t="n">
        <v>24</v>
      </c>
      <c r="M9" s="8" t="n">
        <v>15.2</v>
      </c>
      <c r="N9" s="9">
        <f>MAX(B9:M9)</f>
        <v/>
      </c>
    </row>
    <row r="10">
      <c r="A10" s="7" t="inlineStr">
        <is>
          <t>Apsolutni minimum</t>
        </is>
      </c>
      <c r="B10" s="8" t="n">
        <v>-16.6</v>
      </c>
      <c r="C10" s="8" t="n">
        <v>-7.2</v>
      </c>
      <c r="D10" s="8" t="n">
        <v>-2.6</v>
      </c>
      <c r="E10" s="8" t="n">
        <v>0.7</v>
      </c>
      <c r="F10" s="8" t="n">
        <v>5.8</v>
      </c>
      <c r="G10" s="8" t="n">
        <v>12.5</v>
      </c>
      <c r="H10" s="8" t="n">
        <v>12.9</v>
      </c>
      <c r="I10" s="8" t="n">
        <v>12.5</v>
      </c>
      <c r="J10" s="8" t="n">
        <v>4.4</v>
      </c>
      <c r="K10" s="8" t="n">
        <v>3.5</v>
      </c>
      <c r="L10" s="8" t="n">
        <v>-7.4</v>
      </c>
      <c r="M10" s="8" t="n">
        <v>-8.800000000000001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16</v>
      </c>
      <c r="D11" s="10" t="n">
        <v>5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8</v>
      </c>
      <c r="M11" s="10" t="n">
        <v>10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2</v>
      </c>
      <c r="G12" s="10" t="n">
        <v>8</v>
      </c>
      <c r="H12" s="10" t="n">
        <v>9</v>
      </c>
      <c r="I12" s="10" t="n">
        <v>15</v>
      </c>
      <c r="J12" s="10" t="n">
        <v>6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80.8</v>
      </c>
      <c r="C14" s="8" t="n">
        <v>73.3</v>
      </c>
      <c r="D14" s="8" t="n">
        <v>71.7</v>
      </c>
      <c r="E14" s="8" t="n">
        <v>73.90000000000001</v>
      </c>
      <c r="F14" s="8" t="n">
        <v>68.5</v>
      </c>
      <c r="G14" s="8" t="n">
        <v>69.09999999999999</v>
      </c>
      <c r="H14" s="8" t="n">
        <v>64.40000000000001</v>
      </c>
      <c r="I14" s="8" t="n">
        <v>59.1</v>
      </c>
      <c r="J14" s="8" t="n">
        <v>71.40000000000001</v>
      </c>
      <c r="K14" s="8" t="n">
        <v>78.8</v>
      </c>
      <c r="L14" s="8" t="n">
        <v>79.3</v>
      </c>
      <c r="M14" s="8" t="n">
        <v>83.3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218</v>
      </c>
      <c r="C16" s="8" t="n">
        <v>237</v>
      </c>
      <c r="D16" s="8" t="n">
        <v>281.4</v>
      </c>
      <c r="E16" s="8" t="n">
        <v>318</v>
      </c>
      <c r="F16" s="8" t="n">
        <v>391.6</v>
      </c>
      <c r="G16" s="8" t="n">
        <v>396.1</v>
      </c>
      <c r="H16" s="8" t="n">
        <v>398.3</v>
      </c>
      <c r="I16" s="8" t="n">
        <v>401.3</v>
      </c>
      <c r="J16" s="8" t="n">
        <v>238.5</v>
      </c>
      <c r="K16" s="8" t="n">
        <v>282</v>
      </c>
      <c r="L16" s="8" t="n">
        <v>227.9</v>
      </c>
      <c r="M16" s="8" t="n">
        <v>149.5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7</v>
      </c>
      <c r="D17" s="10" t="n">
        <v>4</v>
      </c>
      <c r="E17" s="10" t="n">
        <v>1</v>
      </c>
      <c r="F17" s="10" t="n">
        <v>4</v>
      </c>
      <c r="G17" s="10" t="n">
        <v>6</v>
      </c>
      <c r="H17" s="10" t="n">
        <v>13</v>
      </c>
      <c r="I17" s="10" t="n">
        <v>19</v>
      </c>
      <c r="J17" s="10" t="n">
        <v>8</v>
      </c>
      <c r="K17" s="10" t="n">
        <v>9</v>
      </c>
      <c r="L17" s="10" t="n">
        <v>3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5</v>
      </c>
      <c r="D18" s="10" t="n">
        <v>8</v>
      </c>
      <c r="E18" s="10" t="n">
        <v>6</v>
      </c>
      <c r="F18" s="10" t="n">
        <v>3</v>
      </c>
      <c r="G18" s="10" t="n">
        <v>7</v>
      </c>
      <c r="H18" s="10" t="n">
        <v>2</v>
      </c>
      <c r="I18" s="10" t="n">
        <v>0</v>
      </c>
      <c r="J18" s="10" t="n">
        <v>12</v>
      </c>
      <c r="K18" s="10" t="n">
        <v>4</v>
      </c>
      <c r="L18" s="10" t="n">
        <v>8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37.9</v>
      </c>
      <c r="C20" s="8" t="n">
        <v>20.6</v>
      </c>
      <c r="D20" s="8" t="n">
        <v>73.3</v>
      </c>
      <c r="E20" s="8" t="n">
        <v>68.5</v>
      </c>
      <c r="F20" s="8" t="n">
        <v>43.9</v>
      </c>
      <c r="G20" s="8" t="n">
        <v>67.7</v>
      </c>
      <c r="H20" s="8" t="n">
        <v>67.90000000000001</v>
      </c>
      <c r="I20" s="8" t="n">
        <v>30.8</v>
      </c>
      <c r="J20" s="8" t="n">
        <v>94</v>
      </c>
      <c r="K20" s="8" t="n">
        <v>30.2</v>
      </c>
      <c r="L20" s="8" t="n">
        <v>31</v>
      </c>
      <c r="M20" s="8" t="n">
        <v>94.8</v>
      </c>
      <c r="N20" s="9">
        <f>SUM(B20:M20)</f>
        <v/>
      </c>
    </row>
    <row r="21">
      <c r="A21" s="7" t="inlineStr">
        <is>
          <t>Max. dnevna suma</t>
        </is>
      </c>
      <c r="B21" s="8" t="n">
        <v>7.8</v>
      </c>
      <c r="C21" s="8" t="n">
        <v>8.9</v>
      </c>
      <c r="D21" s="8" t="n">
        <v>22.7</v>
      </c>
      <c r="E21" s="8" t="n">
        <v>15.7</v>
      </c>
      <c r="F21" s="8" t="n">
        <v>14.2</v>
      </c>
      <c r="G21" s="8" t="n">
        <v>10.1</v>
      </c>
      <c r="H21" s="8" t="n">
        <v>11.4</v>
      </c>
      <c r="I21" s="8" t="n">
        <v>21.3</v>
      </c>
      <c r="J21" s="8" t="n">
        <v>25.7</v>
      </c>
      <c r="K21" s="8" t="n">
        <v>10.6</v>
      </c>
      <c r="L21" s="8" t="n">
        <v>17</v>
      </c>
      <c r="M21" s="8" t="n">
        <v>24.3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8</v>
      </c>
      <c r="D22" s="10" t="n">
        <v>18</v>
      </c>
      <c r="E22" s="10" t="n">
        <v>24</v>
      </c>
      <c r="F22" s="10" t="n">
        <v>16</v>
      </c>
      <c r="G22" s="10" t="n">
        <v>20</v>
      </c>
      <c r="H22" s="10" t="n">
        <v>19</v>
      </c>
      <c r="I22" s="10" t="n">
        <v>8</v>
      </c>
      <c r="J22" s="10" t="n">
        <v>18</v>
      </c>
      <c r="K22" s="10" t="n">
        <v>11</v>
      </c>
      <c r="L22" s="10" t="n">
        <v>10</v>
      </c>
      <c r="M22" s="10" t="n">
        <v>18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0</v>
      </c>
      <c r="D23" s="10" t="n">
        <v>2</v>
      </c>
      <c r="E23" s="10" t="n">
        <v>1</v>
      </c>
      <c r="F23" s="10" t="n">
        <v>1</v>
      </c>
      <c r="G23" s="10" t="n">
        <v>2</v>
      </c>
      <c r="H23" s="10" t="n">
        <v>1</v>
      </c>
      <c r="I23" s="10" t="n">
        <v>1</v>
      </c>
      <c r="J23" s="10" t="n">
        <v>4</v>
      </c>
      <c r="K23" s="10" t="n">
        <v>1</v>
      </c>
      <c r="L23" s="10" t="n">
        <v>1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7</v>
      </c>
      <c r="D25" s="10" t="n">
        <v>9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3</v>
      </c>
      <c r="M25" s="10" t="n">
        <v>10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7</v>
      </c>
      <c r="D26" s="10" t="n">
        <v>9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3</v>
      </c>
      <c r="M26" s="10" t="n">
        <v>10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2009.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-0.2</v>
      </c>
      <c r="C6" s="8" t="n">
        <v>1.1</v>
      </c>
      <c r="D6" s="8" t="n">
        <v>6.1</v>
      </c>
      <c r="E6" s="8" t="n">
        <v>13.4</v>
      </c>
      <c r="F6" s="8" t="n">
        <v>18.2</v>
      </c>
      <c r="G6" s="8" t="n">
        <v>20.3</v>
      </c>
      <c r="H6" s="8" t="n">
        <v>23</v>
      </c>
      <c r="I6" s="8" t="n">
        <v>23.1</v>
      </c>
      <c r="J6" s="8" t="n">
        <v>19.2</v>
      </c>
      <c r="K6" s="8" t="n">
        <v>11.8</v>
      </c>
      <c r="L6" s="8" t="n">
        <v>7.9</v>
      </c>
      <c r="M6" s="8" t="n">
        <v>2.9</v>
      </c>
      <c r="N6" s="9">
        <f>AVERAGE(B6:M6)</f>
        <v/>
      </c>
    </row>
    <row r="7">
      <c r="A7" s="7" t="inlineStr">
        <is>
          <t>Srednja maksimalna</t>
        </is>
      </c>
      <c r="B7" s="8" t="n">
        <v>3.8</v>
      </c>
      <c r="C7" s="8" t="n">
        <v>5.6</v>
      </c>
      <c r="D7" s="8" t="n">
        <v>10.9</v>
      </c>
      <c r="E7" s="8" t="n">
        <v>18.8</v>
      </c>
      <c r="F7" s="8" t="n">
        <v>23.5</v>
      </c>
      <c r="G7" s="8" t="n">
        <v>25.4</v>
      </c>
      <c r="H7" s="8" t="n">
        <v>28.2</v>
      </c>
      <c r="I7" s="8" t="n">
        <v>28.1</v>
      </c>
      <c r="J7" s="8" t="n">
        <v>24.3</v>
      </c>
      <c r="K7" s="8" t="n">
        <v>16.6</v>
      </c>
      <c r="L7" s="8" t="n">
        <v>13.6</v>
      </c>
      <c r="M7" s="8" t="n">
        <v>6.5</v>
      </c>
      <c r="N7" s="9">
        <f>AVERAGE(B7:M7)</f>
        <v/>
      </c>
    </row>
    <row r="8">
      <c r="A8" s="7" t="inlineStr">
        <is>
          <t>Srednja minimalna</t>
        </is>
      </c>
      <c r="B8" s="8" t="n">
        <v>-3.3</v>
      </c>
      <c r="C8" s="8" t="n">
        <v>-3</v>
      </c>
      <c r="D8" s="8" t="n">
        <v>1.6</v>
      </c>
      <c r="E8" s="8" t="n">
        <v>7.3</v>
      </c>
      <c r="F8" s="8" t="n">
        <v>12.1</v>
      </c>
      <c r="G8" s="8" t="n">
        <v>14.5</v>
      </c>
      <c r="H8" s="8" t="n">
        <v>17</v>
      </c>
      <c r="I8" s="8" t="n">
        <v>17.7</v>
      </c>
      <c r="J8" s="8" t="n">
        <v>13.8</v>
      </c>
      <c r="K8" s="8" t="n">
        <v>7.5</v>
      </c>
      <c r="L8" s="8" t="n">
        <v>3.5</v>
      </c>
      <c r="M8" s="8" t="n">
        <v>-0.4</v>
      </c>
      <c r="N8" s="9">
        <f>AVERAGE(B8:M8)</f>
        <v/>
      </c>
    </row>
    <row r="9">
      <c r="A9" s="7" t="inlineStr">
        <is>
          <t>Apsolutni maksimum</t>
        </is>
      </c>
      <c r="B9" s="8" t="n">
        <v>15.4</v>
      </c>
      <c r="C9" s="8" t="n">
        <v>15.4</v>
      </c>
      <c r="D9" s="8" t="n">
        <v>20.5</v>
      </c>
      <c r="E9" s="8" t="n">
        <v>23.3</v>
      </c>
      <c r="F9" s="8" t="n">
        <v>30.1</v>
      </c>
      <c r="G9" s="8" t="n">
        <v>33.6</v>
      </c>
      <c r="H9" s="8" t="n">
        <v>36</v>
      </c>
      <c r="I9" s="8" t="n">
        <v>34.2</v>
      </c>
      <c r="J9" s="8" t="n">
        <v>33.6</v>
      </c>
      <c r="K9" s="8" t="n">
        <v>26.9</v>
      </c>
      <c r="L9" s="8" t="n">
        <v>18.1</v>
      </c>
      <c r="M9" s="8" t="n">
        <v>16.5</v>
      </c>
      <c r="N9" s="9">
        <f>MAX(B9:M9)</f>
        <v/>
      </c>
    </row>
    <row r="10">
      <c r="A10" s="7" t="inlineStr">
        <is>
          <t>Apsolutni minimum</t>
        </is>
      </c>
      <c r="B10" s="8" t="n">
        <v>-11</v>
      </c>
      <c r="C10" s="8" t="n">
        <v>-17.3</v>
      </c>
      <c r="D10" s="8" t="n">
        <v>-2.2</v>
      </c>
      <c r="E10" s="8" t="n">
        <v>3</v>
      </c>
      <c r="F10" s="8" t="n">
        <v>5.8</v>
      </c>
      <c r="G10" s="8" t="n">
        <v>9.9</v>
      </c>
      <c r="H10" s="8" t="n">
        <v>13.5</v>
      </c>
      <c r="I10" s="8" t="n">
        <v>14.9</v>
      </c>
      <c r="J10" s="8" t="n">
        <v>10.9</v>
      </c>
      <c r="K10" s="8" t="n">
        <v>-0.2</v>
      </c>
      <c r="L10" s="8" t="n">
        <v>-1.3</v>
      </c>
      <c r="M10" s="8" t="n">
        <v>-21.4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21</v>
      </c>
      <c r="D11" s="10" t="n">
        <v>11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1</v>
      </c>
      <c r="M11" s="10" t="n">
        <v>13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7</v>
      </c>
      <c r="H12" s="10" t="n">
        <v>11</v>
      </c>
      <c r="I12" s="10" t="n">
        <v>10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83.7</v>
      </c>
      <c r="C14" s="8" t="n">
        <v>79.7</v>
      </c>
      <c r="D14" s="8" t="n">
        <v>76</v>
      </c>
      <c r="E14" s="8" t="n">
        <v>68</v>
      </c>
      <c r="F14" s="8" t="n">
        <v>67.3</v>
      </c>
      <c r="G14" s="8" t="n">
        <v>70.2</v>
      </c>
      <c r="H14" s="8" t="n">
        <v>66.09999999999999</v>
      </c>
      <c r="I14" s="8" t="n">
        <v>66.5</v>
      </c>
      <c r="J14" s="8" t="n">
        <v>66.5</v>
      </c>
      <c r="K14" s="8" t="n">
        <v>80</v>
      </c>
      <c r="L14" s="8" t="n">
        <v>84.59999999999999</v>
      </c>
      <c r="M14" s="8" t="n">
        <v>85.59999999999999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151.9</v>
      </c>
      <c r="C16" s="8" t="n">
        <v>183</v>
      </c>
      <c r="D16" s="8" t="n">
        <v>222.9</v>
      </c>
      <c r="E16" s="8" t="n">
        <v>328.4</v>
      </c>
      <c r="F16" s="8" t="n">
        <v>372.1</v>
      </c>
      <c r="G16" s="8" t="n">
        <v>357</v>
      </c>
      <c r="H16" s="8" t="n">
        <v>410.2</v>
      </c>
      <c r="I16" s="8" t="n">
        <v>361.1</v>
      </c>
      <c r="J16" s="8" t="n">
        <v>299.3</v>
      </c>
      <c r="K16" s="8" t="n">
        <v>198.3</v>
      </c>
      <c r="L16" s="8" t="n">
        <v>192.1</v>
      </c>
      <c r="M16" s="8" t="n">
        <v>124.7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0</v>
      </c>
      <c r="D17" s="10" t="n">
        <v>0</v>
      </c>
      <c r="E17" s="10" t="n">
        <v>8</v>
      </c>
      <c r="F17" s="10" t="n">
        <v>6</v>
      </c>
      <c r="G17" s="10" t="n">
        <v>4</v>
      </c>
      <c r="H17" s="10" t="n">
        <v>15</v>
      </c>
      <c r="I17" s="10" t="n">
        <v>14</v>
      </c>
      <c r="J17" s="10" t="n">
        <v>8</v>
      </c>
      <c r="K17" s="10" t="n">
        <v>5</v>
      </c>
      <c r="L17" s="10" t="n">
        <v>7</v>
      </c>
      <c r="M17" s="10" t="n">
        <v>0</v>
      </c>
      <c r="N17" s="11">
        <f>SUM(B17:M17)</f>
        <v/>
      </c>
    </row>
    <row r="18">
      <c r="A18" s="7" t="inlineStr">
        <is>
          <t>Broj oblačnih dana</t>
        </is>
      </c>
      <c r="B18" s="10" t="n">
        <v>16</v>
      </c>
      <c r="C18" s="10" t="n">
        <v>16</v>
      </c>
      <c r="D18" s="10" t="n">
        <v>13</v>
      </c>
      <c r="E18" s="10" t="n">
        <v>9</v>
      </c>
      <c r="F18" s="10" t="n">
        <v>3</v>
      </c>
      <c r="G18" s="10" t="n">
        <v>9</v>
      </c>
      <c r="H18" s="10" t="n">
        <v>1</v>
      </c>
      <c r="I18" s="10" t="n">
        <v>4</v>
      </c>
      <c r="J18" s="10" t="n">
        <v>6</v>
      </c>
      <c r="K18" s="10" t="n">
        <v>14</v>
      </c>
      <c r="L18" s="10" t="n">
        <v>9</v>
      </c>
      <c r="M18" s="10" t="n">
        <v>21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69.59999999999999</v>
      </c>
      <c r="C20" s="8" t="n">
        <v>72.8</v>
      </c>
      <c r="D20" s="8" t="n">
        <v>115.3</v>
      </c>
      <c r="E20" s="8" t="n">
        <v>57.8</v>
      </c>
      <c r="F20" s="8" t="n">
        <v>39.4</v>
      </c>
      <c r="G20" s="8" t="n">
        <v>120.5</v>
      </c>
      <c r="H20" s="8" t="n">
        <v>46</v>
      </c>
      <c r="I20" s="8" t="n">
        <v>58.5</v>
      </c>
      <c r="J20" s="8" t="n">
        <v>32.3</v>
      </c>
      <c r="K20" s="8" t="n">
        <v>121.6</v>
      </c>
      <c r="L20" s="8" t="n">
        <v>76.8</v>
      </c>
      <c r="M20" s="8" t="n">
        <v>117.7</v>
      </c>
      <c r="N20" s="9">
        <f>SUM(B20:M20)</f>
        <v/>
      </c>
    </row>
    <row r="21">
      <c r="A21" s="7" t="inlineStr">
        <is>
          <t>Max. dnevna suma</t>
        </is>
      </c>
      <c r="B21" s="8" t="n">
        <v>12.5</v>
      </c>
      <c r="C21" s="8" t="n">
        <v>23.1</v>
      </c>
      <c r="D21" s="8" t="n">
        <v>20.3</v>
      </c>
      <c r="E21" s="8" t="n">
        <v>11</v>
      </c>
      <c r="F21" s="8" t="n">
        <v>7.1</v>
      </c>
      <c r="G21" s="8" t="n">
        <v>21.5</v>
      </c>
      <c r="H21" s="8" t="n">
        <v>11.7</v>
      </c>
      <c r="I21" s="8" t="n">
        <v>13.3</v>
      </c>
      <c r="J21" s="8" t="n">
        <v>9.300000000000001</v>
      </c>
      <c r="K21" s="8" t="n">
        <v>35.2</v>
      </c>
      <c r="L21" s="8" t="n">
        <v>20.4</v>
      </c>
      <c r="M21" s="8" t="n">
        <v>21.7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17</v>
      </c>
      <c r="D22" s="10" t="n">
        <v>26</v>
      </c>
      <c r="E22" s="10" t="n">
        <v>17</v>
      </c>
      <c r="F22" s="10" t="n">
        <v>18</v>
      </c>
      <c r="G22" s="10" t="n">
        <v>20</v>
      </c>
      <c r="H22" s="10" t="n">
        <v>15</v>
      </c>
      <c r="I22" s="10" t="n">
        <v>13</v>
      </c>
      <c r="J22" s="10" t="n">
        <v>13</v>
      </c>
      <c r="K22" s="10" t="n">
        <v>16</v>
      </c>
      <c r="L22" s="10" t="n">
        <v>10</v>
      </c>
      <c r="M22" s="10" t="n">
        <v>23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2</v>
      </c>
      <c r="D23" s="10" t="n">
        <v>2</v>
      </c>
      <c r="E23" s="10" t="n">
        <v>2</v>
      </c>
      <c r="F23" s="10" t="n">
        <v>0</v>
      </c>
      <c r="G23" s="10" t="n">
        <v>5</v>
      </c>
      <c r="H23" s="10" t="n">
        <v>1</v>
      </c>
      <c r="I23" s="10" t="n">
        <v>3</v>
      </c>
      <c r="J23" s="10" t="n">
        <v>0</v>
      </c>
      <c r="K23" s="10" t="n">
        <v>3</v>
      </c>
      <c r="L23" s="10" t="n">
        <v>3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12</v>
      </c>
      <c r="C25" s="10" t="n">
        <v>17</v>
      </c>
      <c r="D25" s="10" t="n">
        <v>13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3</v>
      </c>
      <c r="L25" s="10" t="n">
        <v>1</v>
      </c>
      <c r="M25" s="10" t="n">
        <v>14</v>
      </c>
      <c r="N25" s="11">
        <f>SUM(B25:M25)</f>
        <v/>
      </c>
    </row>
    <row r="26">
      <c r="A26" s="7" t="inlineStr">
        <is>
          <t>snežnim pokrivačem</t>
        </is>
      </c>
      <c r="B26" s="10" t="n">
        <v>12</v>
      </c>
      <c r="C26" s="10" t="n">
        <v>17</v>
      </c>
      <c r="D26" s="10" t="n">
        <v>13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3</v>
      </c>
      <c r="L26" s="10" t="n">
        <v>1</v>
      </c>
      <c r="M26" s="10" t="n">
        <v>14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2010.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0.6</v>
      </c>
      <c r="C6" s="8" t="n">
        <v>1.8</v>
      </c>
      <c r="D6" s="8" t="n">
        <v>6.5</v>
      </c>
      <c r="E6" s="8" t="n">
        <v>12.2</v>
      </c>
      <c r="F6" s="8" t="n">
        <v>16.8</v>
      </c>
      <c r="G6" s="8" t="n">
        <v>20.2</v>
      </c>
      <c r="H6" s="8" t="n">
        <v>22.7</v>
      </c>
      <c r="I6" s="8" t="n">
        <v>23.4</v>
      </c>
      <c r="J6" s="8" t="n">
        <v>17.7</v>
      </c>
      <c r="K6" s="8" t="n">
        <v>9.300000000000001</v>
      </c>
      <c r="L6" s="8" t="n">
        <v>10.1</v>
      </c>
      <c r="M6" s="8" t="n">
        <v>1.8</v>
      </c>
      <c r="N6" s="9">
        <f>AVERAGE(B6:M6)</f>
        <v/>
      </c>
    </row>
    <row r="7">
      <c r="A7" s="7" t="inlineStr">
        <is>
          <t>Srednja maksimalna</t>
        </is>
      </c>
      <c r="B7" s="8" t="n">
        <v>4.3</v>
      </c>
      <c r="C7" s="8" t="n">
        <v>6.4</v>
      </c>
      <c r="D7" s="8" t="n">
        <v>11.6</v>
      </c>
      <c r="E7" s="8" t="n">
        <v>17.1</v>
      </c>
      <c r="F7" s="8" t="n">
        <v>21.8</v>
      </c>
      <c r="G7" s="8" t="n">
        <v>24.7</v>
      </c>
      <c r="H7" s="8" t="n">
        <v>27.3</v>
      </c>
      <c r="I7" s="8" t="n">
        <v>28.8</v>
      </c>
      <c r="J7" s="8" t="n">
        <v>23.1</v>
      </c>
      <c r="K7" s="8" t="n">
        <v>13.2</v>
      </c>
      <c r="L7" s="8" t="n">
        <v>16</v>
      </c>
      <c r="M7" s="8" t="n">
        <v>6.2</v>
      </c>
      <c r="N7" s="9">
        <f>AVERAGE(B7:M7)</f>
        <v/>
      </c>
    </row>
    <row r="8">
      <c r="A8" s="7" t="inlineStr">
        <is>
          <t>Srednja minimalna</t>
        </is>
      </c>
      <c r="B8" s="8" t="n">
        <v>-2.6</v>
      </c>
      <c r="C8" s="8" t="n">
        <v>-2.6</v>
      </c>
      <c r="D8" s="8" t="n">
        <v>1.7</v>
      </c>
      <c r="E8" s="8" t="n">
        <v>7</v>
      </c>
      <c r="F8" s="8" t="n">
        <v>11.2</v>
      </c>
      <c r="G8" s="8" t="n">
        <v>15</v>
      </c>
      <c r="H8" s="8" t="n">
        <v>17.6</v>
      </c>
      <c r="I8" s="8" t="n">
        <v>17.8</v>
      </c>
      <c r="J8" s="8" t="n">
        <v>12.6</v>
      </c>
      <c r="K8" s="8" t="n">
        <v>6</v>
      </c>
      <c r="L8" s="8" t="n">
        <v>5.4</v>
      </c>
      <c r="M8" s="8" t="n">
        <v>-1.9</v>
      </c>
      <c r="N8" s="9">
        <f>AVERAGE(B8:M8)</f>
        <v/>
      </c>
    </row>
    <row r="9">
      <c r="A9" s="7" t="inlineStr">
        <is>
          <t>Apsolutni maksimum</t>
        </is>
      </c>
      <c r="B9" s="8" t="n">
        <v>15.4</v>
      </c>
      <c r="C9" s="8" t="n">
        <v>17.6</v>
      </c>
      <c r="D9" s="8" t="n">
        <v>22.1</v>
      </c>
      <c r="E9" s="8" t="n">
        <v>22.9</v>
      </c>
      <c r="F9" s="8" t="n">
        <v>28.8</v>
      </c>
      <c r="G9" s="8" t="n">
        <v>34.7</v>
      </c>
      <c r="H9" s="8" t="n">
        <v>33.3</v>
      </c>
      <c r="I9" s="8" t="n">
        <v>36.2</v>
      </c>
      <c r="J9" s="8" t="n">
        <v>30</v>
      </c>
      <c r="K9" s="8" t="n">
        <v>18.8</v>
      </c>
      <c r="L9" s="8" t="n">
        <v>21.4</v>
      </c>
      <c r="M9" s="8" t="n">
        <v>17.7</v>
      </c>
      <c r="N9" s="9">
        <f>MAX(B9:M9)</f>
        <v/>
      </c>
    </row>
    <row r="10">
      <c r="A10" s="7" t="inlineStr">
        <is>
          <t>Apsolutni minimum</t>
        </is>
      </c>
      <c r="B10" s="8" t="n">
        <v>-14.3</v>
      </c>
      <c r="C10" s="8" t="n">
        <v>-11.8</v>
      </c>
      <c r="D10" s="8" t="n">
        <v>-4.2</v>
      </c>
      <c r="E10" s="8" t="n">
        <v>3.1</v>
      </c>
      <c r="F10" s="8" t="n">
        <v>7.7</v>
      </c>
      <c r="G10" s="8" t="n">
        <v>9.5</v>
      </c>
      <c r="H10" s="8" t="n">
        <v>13.5</v>
      </c>
      <c r="I10" s="8" t="n">
        <v>12.4</v>
      </c>
      <c r="J10" s="8" t="n">
        <v>9.4</v>
      </c>
      <c r="K10" s="8" t="n">
        <v>-2.4</v>
      </c>
      <c r="L10" s="8" t="n">
        <v>0.3</v>
      </c>
      <c r="M10" s="8" t="n">
        <v>-11.3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20</v>
      </c>
      <c r="D11" s="10" t="n">
        <v>13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3</v>
      </c>
      <c r="L11" s="10" t="n">
        <v>0</v>
      </c>
      <c r="M11" s="10" t="n">
        <v>19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10</v>
      </c>
      <c r="I12" s="10" t="n">
        <v>10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77.09999999999999</v>
      </c>
      <c r="C14" s="8" t="n">
        <v>81.40000000000001</v>
      </c>
      <c r="D14" s="8" t="n">
        <v>72</v>
      </c>
      <c r="E14" s="8" t="n">
        <v>74.3</v>
      </c>
      <c r="F14" s="8" t="n">
        <v>74.5</v>
      </c>
      <c r="G14" s="8" t="n">
        <v>76.09999999999999</v>
      </c>
      <c r="H14" s="8" t="n">
        <v>70.8</v>
      </c>
      <c r="I14" s="8" t="n">
        <v>64.90000000000001</v>
      </c>
      <c r="J14" s="8" t="n">
        <v>67.90000000000001</v>
      </c>
      <c r="K14" s="8" t="n">
        <v>81.90000000000001</v>
      </c>
      <c r="L14" s="8" t="n">
        <v>82.09999999999999</v>
      </c>
      <c r="M14" s="8" t="n">
        <v>78.90000000000001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183.5</v>
      </c>
      <c r="C16" s="8" t="n">
        <v>162.4</v>
      </c>
      <c r="D16" s="8" t="n">
        <v>248.4</v>
      </c>
      <c r="E16" s="8" t="n">
        <v>276.9</v>
      </c>
      <c r="F16" s="8" t="n">
        <v>314.9</v>
      </c>
      <c r="G16" s="8" t="n">
        <v>341.6</v>
      </c>
      <c r="H16" s="8" t="n">
        <v>378.2</v>
      </c>
      <c r="I16" s="8" t="n">
        <v>371</v>
      </c>
      <c r="J16" s="8" t="n">
        <v>310.7</v>
      </c>
      <c r="K16" s="8" t="n">
        <v>165.2</v>
      </c>
      <c r="L16" s="8" t="n">
        <v>206.4</v>
      </c>
      <c r="M16" s="8" t="n">
        <v>198.5</v>
      </c>
      <c r="N16" s="9">
        <f>SUM(B16:M16)</f>
        <v/>
      </c>
    </row>
    <row r="17">
      <c r="A17" s="7" t="inlineStr">
        <is>
          <t>Broj vedrih dana</t>
        </is>
      </c>
      <c r="B17" s="10" t="n">
        <v>0</v>
      </c>
      <c r="C17" s="10" t="n">
        <v>1</v>
      </c>
      <c r="D17" s="10" t="n">
        <v>2</v>
      </c>
      <c r="E17" s="10" t="n">
        <v>4</v>
      </c>
      <c r="F17" s="10" t="n">
        <v>2</v>
      </c>
      <c r="G17" s="10" t="n">
        <v>6</v>
      </c>
      <c r="H17" s="10" t="n">
        <v>9</v>
      </c>
      <c r="I17" s="10" t="n">
        <v>11</v>
      </c>
      <c r="J17" s="10" t="n">
        <v>5</v>
      </c>
      <c r="K17" s="10" t="n">
        <v>3</v>
      </c>
      <c r="L17" s="10" t="n">
        <v>6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16</v>
      </c>
      <c r="C18" s="10" t="n">
        <v>16</v>
      </c>
      <c r="D18" s="10" t="n">
        <v>12</v>
      </c>
      <c r="E18" s="10" t="n">
        <v>13</v>
      </c>
      <c r="F18" s="10" t="n">
        <v>11</v>
      </c>
      <c r="G18" s="10" t="n">
        <v>8</v>
      </c>
      <c r="H18" s="10" t="n">
        <v>7</v>
      </c>
      <c r="I18" s="10" t="n">
        <v>2</v>
      </c>
      <c r="J18" s="10" t="n">
        <v>6</v>
      </c>
      <c r="K18" s="10" t="n">
        <v>16</v>
      </c>
      <c r="L18" s="10" t="n">
        <v>10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49.9</v>
      </c>
      <c r="C20" s="8" t="n">
        <v>104</v>
      </c>
      <c r="D20" s="8" t="n">
        <v>86</v>
      </c>
      <c r="E20" s="8" t="n">
        <v>97.09999999999999</v>
      </c>
      <c r="F20" s="8" t="n">
        <v>98.90000000000001</v>
      </c>
      <c r="G20" s="8" t="n">
        <v>119.4</v>
      </c>
      <c r="H20" s="8" t="n">
        <v>48.1</v>
      </c>
      <c r="I20" s="8" t="n">
        <v>23.7</v>
      </c>
      <c r="J20" s="8" t="n">
        <v>24.7</v>
      </c>
      <c r="K20" s="8" t="n">
        <v>92.90000000000001</v>
      </c>
      <c r="L20" s="8" t="n">
        <v>46.4</v>
      </c>
      <c r="M20" s="8" t="n">
        <v>61.4</v>
      </c>
      <c r="N20" s="9">
        <f>SUM(B20:M20)</f>
        <v/>
      </c>
    </row>
    <row r="21">
      <c r="A21" s="7" t="inlineStr">
        <is>
          <t>Max. dnevna suma</t>
        </is>
      </c>
      <c r="B21" s="8" t="n">
        <v>9</v>
      </c>
      <c r="C21" s="8" t="n">
        <v>18.4</v>
      </c>
      <c r="D21" s="8" t="n">
        <v>13.2</v>
      </c>
      <c r="E21" s="8" t="n">
        <v>23.3</v>
      </c>
      <c r="F21" s="8" t="n">
        <v>16.1</v>
      </c>
      <c r="G21" s="8" t="n">
        <v>19.6</v>
      </c>
      <c r="H21" s="8" t="n">
        <v>15.1</v>
      </c>
      <c r="I21" s="8" t="n">
        <v>8.300000000000001</v>
      </c>
      <c r="J21" s="8" t="n">
        <v>7.3</v>
      </c>
      <c r="K21" s="8" t="n">
        <v>19</v>
      </c>
      <c r="L21" s="8" t="n">
        <v>12.2</v>
      </c>
      <c r="M21" s="8" t="n">
        <v>23.8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20</v>
      </c>
      <c r="D22" s="10" t="n">
        <v>21</v>
      </c>
      <c r="E22" s="10" t="n">
        <v>22</v>
      </c>
      <c r="F22" s="10" t="n">
        <v>19</v>
      </c>
      <c r="G22" s="10" t="n">
        <v>23</v>
      </c>
      <c r="H22" s="10" t="n">
        <v>18</v>
      </c>
      <c r="I22" s="10" t="n">
        <v>6</v>
      </c>
      <c r="J22" s="10" t="n">
        <v>10</v>
      </c>
      <c r="K22" s="10" t="n">
        <v>18</v>
      </c>
      <c r="L22" s="10" t="n">
        <v>16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3</v>
      </c>
      <c r="D23" s="10" t="n">
        <v>3</v>
      </c>
      <c r="E23" s="10" t="n">
        <v>2</v>
      </c>
      <c r="F23" s="10" t="n">
        <v>5</v>
      </c>
      <c r="G23" s="10" t="n">
        <v>4</v>
      </c>
      <c r="H23" s="10" t="n">
        <v>1</v>
      </c>
      <c r="I23" s="10" t="n">
        <v>0</v>
      </c>
      <c r="J23" s="10" t="n">
        <v>0</v>
      </c>
      <c r="K23" s="10" t="n">
        <v>4</v>
      </c>
      <c r="L23" s="10" t="n">
        <v>1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11</v>
      </c>
      <c r="C25" s="10" t="n">
        <v>15</v>
      </c>
      <c r="D25" s="10" t="n">
        <v>9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2</v>
      </c>
      <c r="L25" s="10" t="n">
        <v>2</v>
      </c>
      <c r="M25" s="10" t="n">
        <v>14</v>
      </c>
      <c r="N25" s="11">
        <f>SUM(B25:M25)</f>
        <v/>
      </c>
    </row>
    <row r="26">
      <c r="A26" s="7" t="inlineStr">
        <is>
          <t>snežnim pokrivačem</t>
        </is>
      </c>
      <c r="B26" s="10" t="n">
        <v>11</v>
      </c>
      <c r="C26" s="10" t="n">
        <v>15</v>
      </c>
      <c r="D26" s="10" t="n">
        <v>9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2</v>
      </c>
      <c r="L26" s="10" t="n">
        <v>2</v>
      </c>
      <c r="M26" s="10" t="n">
        <v>14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2011.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-0.2</v>
      </c>
      <c r="C6" s="8" t="n">
        <v>-0.5</v>
      </c>
      <c r="D6" s="8" t="n">
        <v>5.5</v>
      </c>
      <c r="E6" s="8" t="n">
        <v>11.8</v>
      </c>
      <c r="F6" s="8" t="n">
        <v>16.2</v>
      </c>
      <c r="G6" s="8" t="n">
        <v>21</v>
      </c>
      <c r="H6" s="8" t="n">
        <v>23.1</v>
      </c>
      <c r="I6" s="8" t="n">
        <v>24.1</v>
      </c>
      <c r="J6" s="8" t="n">
        <v>22</v>
      </c>
      <c r="K6" s="8" t="n">
        <v>10.4</v>
      </c>
      <c r="L6" s="8" t="n">
        <v>3.1</v>
      </c>
      <c r="M6" s="8" t="n">
        <v>2.6</v>
      </c>
      <c r="N6" s="9">
        <f>AVERAGE(B6:M6)</f>
        <v/>
      </c>
    </row>
    <row r="7">
      <c r="A7" s="7" t="inlineStr">
        <is>
          <t>Srednja maksimalna</t>
        </is>
      </c>
      <c r="B7" s="8" t="n">
        <v>4.7</v>
      </c>
      <c r="C7" s="8" t="n">
        <v>4.9</v>
      </c>
      <c r="D7" s="8" t="n">
        <v>11.1</v>
      </c>
      <c r="E7" s="8" t="n">
        <v>16.8</v>
      </c>
      <c r="F7" s="8" t="n">
        <v>21.2</v>
      </c>
      <c r="G7" s="8" t="n">
        <v>25.9</v>
      </c>
      <c r="H7" s="8" t="n">
        <v>28.5</v>
      </c>
      <c r="I7" s="8" t="n">
        <v>30</v>
      </c>
      <c r="J7" s="8" t="n">
        <v>27.7</v>
      </c>
      <c r="K7" s="8" t="n">
        <v>15.5</v>
      </c>
      <c r="L7" s="8" t="n">
        <v>8.699999999999999</v>
      </c>
      <c r="M7" s="8" t="n">
        <v>7.5</v>
      </c>
      <c r="N7" s="9">
        <f>AVERAGE(B7:M7)</f>
        <v/>
      </c>
    </row>
    <row r="8">
      <c r="A8" s="7" t="inlineStr">
        <is>
          <t>Srednja minimalna</t>
        </is>
      </c>
      <c r="B8" s="8" t="n">
        <v>-4</v>
      </c>
      <c r="C8" s="8" t="n">
        <v>-4.8</v>
      </c>
      <c r="D8" s="8" t="n">
        <v>0.1</v>
      </c>
      <c r="E8" s="8" t="n">
        <v>6.3</v>
      </c>
      <c r="F8" s="8" t="n">
        <v>10.8</v>
      </c>
      <c r="G8" s="8" t="n">
        <v>15.4</v>
      </c>
      <c r="H8" s="8" t="n">
        <v>16.8</v>
      </c>
      <c r="I8" s="8" t="n">
        <v>17.7</v>
      </c>
      <c r="J8" s="8" t="n">
        <v>15.8</v>
      </c>
      <c r="K8" s="8" t="n">
        <v>5.9</v>
      </c>
      <c r="L8" s="8" t="n">
        <v>-0.9</v>
      </c>
      <c r="M8" s="8" t="n">
        <v>-0.9</v>
      </c>
      <c r="N8" s="9">
        <f>AVERAGE(B8:M8)</f>
        <v/>
      </c>
    </row>
    <row r="9">
      <c r="A9" s="7" t="inlineStr">
        <is>
          <t>Apsolutni maksimum</t>
        </is>
      </c>
      <c r="B9" s="8" t="n">
        <v>13.1</v>
      </c>
      <c r="C9" s="8" t="n">
        <v>14.4</v>
      </c>
      <c r="D9" s="8" t="n">
        <v>20.5</v>
      </c>
      <c r="E9" s="8" t="n">
        <v>21.6</v>
      </c>
      <c r="F9" s="8" t="n">
        <v>27.3</v>
      </c>
      <c r="G9" s="8" t="n">
        <v>33</v>
      </c>
      <c r="H9" s="8" t="n">
        <v>35.6</v>
      </c>
      <c r="I9" s="8" t="n">
        <v>37</v>
      </c>
      <c r="J9" s="8" t="n">
        <v>34.6</v>
      </c>
      <c r="K9" s="8" t="n">
        <v>25.3</v>
      </c>
      <c r="L9" s="8" t="n">
        <v>17.4</v>
      </c>
      <c r="M9" s="8" t="n">
        <v>14.8</v>
      </c>
      <c r="N9" s="9">
        <f>MAX(B9:M9)</f>
        <v/>
      </c>
    </row>
    <row r="10">
      <c r="A10" s="7" t="inlineStr">
        <is>
          <t>Apsolutni minimum</t>
        </is>
      </c>
      <c r="B10" s="8" t="n">
        <v>-19</v>
      </c>
      <c r="C10" s="8" t="n">
        <v>-14.9</v>
      </c>
      <c r="D10" s="8" t="n">
        <v>-11.7</v>
      </c>
      <c r="E10" s="8" t="n">
        <v>2.5</v>
      </c>
      <c r="F10" s="8" t="n">
        <v>3.7</v>
      </c>
      <c r="G10" s="8" t="n">
        <v>12.8</v>
      </c>
      <c r="H10" s="8" t="n">
        <v>11.6</v>
      </c>
      <c r="I10" s="8" t="n">
        <v>12.2</v>
      </c>
      <c r="J10" s="8" t="n">
        <v>11.1</v>
      </c>
      <c r="K10" s="8" t="n">
        <v>-1.4</v>
      </c>
      <c r="L10" s="8" t="n">
        <v>-5.6</v>
      </c>
      <c r="M10" s="8" t="n">
        <v>-4.2</v>
      </c>
      <c r="N10" s="9">
        <f>MIN(B10:M10)</f>
        <v/>
      </c>
    </row>
    <row r="11">
      <c r="A11" s="7" t="inlineStr">
        <is>
          <t>Sr. br. mraznih dana</t>
        </is>
      </c>
      <c r="B11" s="10" t="n">
        <v>26</v>
      </c>
      <c r="C11" s="10" t="n">
        <v>24</v>
      </c>
      <c r="D11" s="10" t="n">
        <v>12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4</v>
      </c>
      <c r="L11" s="10" t="n">
        <v>22</v>
      </c>
      <c r="M11" s="10" t="n">
        <v>23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14</v>
      </c>
      <c r="I12" s="10" t="n">
        <v>16</v>
      </c>
      <c r="J12" s="10" t="n">
        <v>10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84.59999999999999</v>
      </c>
      <c r="C14" s="8" t="n">
        <v>81.09999999999999</v>
      </c>
      <c r="D14" s="8" t="n">
        <v>75.2</v>
      </c>
      <c r="E14" s="8" t="n">
        <v>66.3</v>
      </c>
      <c r="F14" s="8" t="n">
        <v>72.59999999999999</v>
      </c>
      <c r="G14" s="8" t="n">
        <v>65.3</v>
      </c>
      <c r="H14" s="8" t="n">
        <v>62.5</v>
      </c>
      <c r="I14" s="8" t="n">
        <v>53.7</v>
      </c>
      <c r="J14" s="8" t="n">
        <v>56.6</v>
      </c>
      <c r="K14" s="8" t="n">
        <v>73</v>
      </c>
      <c r="L14" s="8" t="n">
        <v>77.7</v>
      </c>
      <c r="M14" s="8" t="n">
        <v>82.5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196.6</v>
      </c>
      <c r="C16" s="8" t="n">
        <v>181.2</v>
      </c>
      <c r="D16" s="8" t="n">
        <v>274.2</v>
      </c>
      <c r="E16" s="8" t="n">
        <v>328.3</v>
      </c>
      <c r="F16" s="8" t="n">
        <v>324.4</v>
      </c>
      <c r="G16" s="8" t="n">
        <v>385.9</v>
      </c>
      <c r="H16" s="8" t="n">
        <v>395.2</v>
      </c>
      <c r="I16" s="8" t="n">
        <v>396.9</v>
      </c>
      <c r="J16" s="8" t="n">
        <v>331.7</v>
      </c>
      <c r="K16" s="8" t="n">
        <v>255.3</v>
      </c>
      <c r="L16" s="8" t="n">
        <v>252.1</v>
      </c>
      <c r="M16" s="8" t="n">
        <v>200.9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7</v>
      </c>
      <c r="D17" s="10" t="n">
        <v>8</v>
      </c>
      <c r="E17" s="10" t="n">
        <v>5</v>
      </c>
      <c r="F17" s="10" t="n">
        <v>5</v>
      </c>
      <c r="G17" s="10" t="n">
        <v>8</v>
      </c>
      <c r="H17" s="10" t="n">
        <v>12</v>
      </c>
      <c r="I17" s="10" t="n">
        <v>18</v>
      </c>
      <c r="J17" s="10" t="n">
        <v>11</v>
      </c>
      <c r="K17" s="10" t="n">
        <v>11</v>
      </c>
      <c r="L17" s="10" t="n">
        <v>11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11</v>
      </c>
      <c r="D18" s="10" t="n">
        <v>9</v>
      </c>
      <c r="E18" s="10" t="n">
        <v>8</v>
      </c>
      <c r="F18" s="10" t="n">
        <v>12</v>
      </c>
      <c r="G18" s="10" t="n">
        <v>4</v>
      </c>
      <c r="H18" s="10" t="n">
        <v>1</v>
      </c>
      <c r="I18" s="10" t="n">
        <v>0</v>
      </c>
      <c r="J18" s="10" t="n">
        <v>3</v>
      </c>
      <c r="K18" s="10" t="n">
        <v>7</v>
      </c>
      <c r="L18" s="10" t="n">
        <v>3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26.4</v>
      </c>
      <c r="C20" s="8" t="n">
        <v>45.7</v>
      </c>
      <c r="D20" s="8" t="n">
        <v>63.4</v>
      </c>
      <c r="E20" s="8" t="n">
        <v>27.8</v>
      </c>
      <c r="F20" s="8" t="n">
        <v>89.8</v>
      </c>
      <c r="G20" s="8" t="n">
        <v>48.7</v>
      </c>
      <c r="H20" s="8" t="n">
        <v>54.6</v>
      </c>
      <c r="I20" s="8" t="n">
        <v>10.8</v>
      </c>
      <c r="J20" s="8" t="n">
        <v>36.3</v>
      </c>
      <c r="K20" s="8" t="n">
        <v>32.7</v>
      </c>
      <c r="L20" s="8" t="n">
        <v>4.4</v>
      </c>
      <c r="M20" s="8" t="n">
        <v>51.4</v>
      </c>
      <c r="N20" s="9">
        <f>SUM(B20:M20)</f>
        <v/>
      </c>
    </row>
    <row r="21">
      <c r="A21" s="7" t="inlineStr">
        <is>
          <t>Max. dnevna suma</t>
        </is>
      </c>
      <c r="B21" s="8" t="n">
        <v>9.300000000000001</v>
      </c>
      <c r="C21" s="8" t="n">
        <v>7.9</v>
      </c>
      <c r="D21" s="8" t="n">
        <v>18.8</v>
      </c>
      <c r="E21" s="8" t="n">
        <v>12.4</v>
      </c>
      <c r="F21" s="8" t="n">
        <v>9.699999999999999</v>
      </c>
      <c r="G21" s="8" t="n">
        <v>10.8</v>
      </c>
      <c r="H21" s="8" t="n">
        <v>13</v>
      </c>
      <c r="I21" s="8" t="n">
        <v>4.6</v>
      </c>
      <c r="J21" s="8" t="n">
        <v>15.9</v>
      </c>
      <c r="K21" s="8" t="n">
        <v>12.5</v>
      </c>
      <c r="L21" s="8" t="n">
        <v>3</v>
      </c>
      <c r="M21" s="8" t="n">
        <v>15.9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8</v>
      </c>
      <c r="C22" s="10" t="n">
        <v>12</v>
      </c>
      <c r="D22" s="10" t="n">
        <v>19</v>
      </c>
      <c r="E22" s="10" t="n">
        <v>13</v>
      </c>
      <c r="F22" s="10" t="n">
        <v>21</v>
      </c>
      <c r="G22" s="10" t="n">
        <v>18</v>
      </c>
      <c r="H22" s="10" t="n">
        <v>14</v>
      </c>
      <c r="I22" s="10" t="n">
        <v>8</v>
      </c>
      <c r="J22" s="10" t="n">
        <v>5</v>
      </c>
      <c r="K22" s="10" t="n">
        <v>11</v>
      </c>
      <c r="L22" s="10" t="n">
        <v>3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0</v>
      </c>
      <c r="D23" s="10" t="n">
        <v>1</v>
      </c>
      <c r="E23" s="10" t="n">
        <v>1</v>
      </c>
      <c r="F23" s="10" t="n">
        <v>0</v>
      </c>
      <c r="G23" s="10" t="n">
        <v>1</v>
      </c>
      <c r="H23" s="10" t="n">
        <v>1</v>
      </c>
      <c r="I23" s="10" t="n">
        <v>0</v>
      </c>
      <c r="J23" s="10" t="n">
        <v>2</v>
      </c>
      <c r="K23" s="10" t="n">
        <v>1</v>
      </c>
      <c r="L23" s="10" t="n">
        <v>0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7</v>
      </c>
      <c r="C25" s="10" t="n">
        <v>11</v>
      </c>
      <c r="D25" s="10" t="n">
        <v>8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1</v>
      </c>
      <c r="L25" s="10" t="n">
        <v>0</v>
      </c>
      <c r="M25" s="10" t="n">
        <v>11</v>
      </c>
      <c r="N25" s="11">
        <f>SUM(B25:M25)</f>
        <v/>
      </c>
    </row>
    <row r="26">
      <c r="A26" s="7" t="inlineStr">
        <is>
          <t>snežnim pokrivačem</t>
        </is>
      </c>
      <c r="B26" s="10" t="n">
        <v>7</v>
      </c>
      <c r="C26" s="10" t="n">
        <v>11</v>
      </c>
      <c r="D26" s="10" t="n">
        <v>8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</v>
      </c>
      <c r="L26" s="10" t="n">
        <v>0</v>
      </c>
      <c r="M26" s="10" t="n">
        <v>11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2012.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-0.6</v>
      </c>
      <c r="C6" s="8" t="n">
        <v>-5.6</v>
      </c>
      <c r="D6" s="8" t="n">
        <v>7.3</v>
      </c>
      <c r="E6" s="8" t="n">
        <v>12.1</v>
      </c>
      <c r="F6" s="8" t="n">
        <v>16.1</v>
      </c>
      <c r="G6" s="8" t="n">
        <v>23</v>
      </c>
      <c r="H6" s="8" t="n">
        <v>26.3</v>
      </c>
      <c r="I6" s="8" t="n">
        <v>25.7</v>
      </c>
      <c r="J6" s="8" t="n">
        <v>20.9</v>
      </c>
      <c r="K6" s="8" t="n">
        <v>14.3</v>
      </c>
      <c r="L6" s="8" t="n">
        <v>8.9</v>
      </c>
      <c r="M6" s="8" t="n">
        <v>0.1</v>
      </c>
      <c r="N6" s="9">
        <f>AVERAGE(B6:M6)</f>
        <v/>
      </c>
    </row>
    <row r="7">
      <c r="A7" s="7" t="inlineStr">
        <is>
          <t>Srednja maksimalna</t>
        </is>
      </c>
      <c r="B7" s="8" t="n">
        <v>3.1</v>
      </c>
      <c r="C7" s="8" t="n">
        <v>-1.7</v>
      </c>
      <c r="D7" s="8" t="n">
        <v>12.7</v>
      </c>
      <c r="E7" s="8" t="n">
        <v>18.3</v>
      </c>
      <c r="F7" s="8" t="n">
        <v>20.8</v>
      </c>
      <c r="G7" s="8" t="n">
        <v>29</v>
      </c>
      <c r="H7" s="8" t="n">
        <v>31.8</v>
      </c>
      <c r="I7" s="8" t="n">
        <v>31.7</v>
      </c>
      <c r="J7" s="8" t="n">
        <v>27.4</v>
      </c>
      <c r="K7" s="8" t="n">
        <v>20.2</v>
      </c>
      <c r="L7" s="8" t="n">
        <v>13.8</v>
      </c>
      <c r="M7" s="8" t="n">
        <v>3.5</v>
      </c>
      <c r="N7" s="9">
        <f>AVERAGE(B7:M7)</f>
        <v/>
      </c>
    </row>
    <row r="8">
      <c r="A8" s="7" t="inlineStr">
        <is>
          <t>Srednja minimalna</t>
        </is>
      </c>
      <c r="B8" s="8" t="n">
        <v>-3.8</v>
      </c>
      <c r="C8" s="8" t="n">
        <v>-9.300000000000001</v>
      </c>
      <c r="D8" s="8" t="n">
        <v>2</v>
      </c>
      <c r="E8" s="8" t="n">
        <v>5.4</v>
      </c>
      <c r="F8" s="8" t="n">
        <v>11.1</v>
      </c>
      <c r="G8" s="8" t="n">
        <v>16</v>
      </c>
      <c r="H8" s="8" t="n">
        <v>19.8</v>
      </c>
      <c r="I8" s="8" t="n">
        <v>18.2</v>
      </c>
      <c r="J8" s="8" t="n">
        <v>14.3</v>
      </c>
      <c r="K8" s="8" t="n">
        <v>8.800000000000001</v>
      </c>
      <c r="L8" s="8" t="n">
        <v>5.1</v>
      </c>
      <c r="M8" s="8" t="n">
        <v>-3.1</v>
      </c>
      <c r="N8" s="9">
        <f>AVERAGE(B8:M8)</f>
        <v/>
      </c>
    </row>
    <row r="9">
      <c r="A9" s="7" t="inlineStr">
        <is>
          <t>Apsolutni maksimum</t>
        </is>
      </c>
      <c r="B9" s="8" t="n">
        <v>10.2</v>
      </c>
      <c r="C9" s="8" t="n">
        <v>10.5</v>
      </c>
      <c r="D9" s="8" t="n">
        <v>21.4</v>
      </c>
      <c r="E9" s="8" t="n">
        <v>27.2</v>
      </c>
      <c r="F9" s="8" t="n">
        <v>28.6</v>
      </c>
      <c r="G9" s="8" t="n">
        <v>34.3</v>
      </c>
      <c r="H9" s="8" t="n">
        <v>39.5</v>
      </c>
      <c r="I9" s="8" t="n">
        <v>38.4</v>
      </c>
      <c r="J9" s="8" t="n">
        <v>33.6</v>
      </c>
      <c r="K9" s="8" t="n">
        <v>32.2</v>
      </c>
      <c r="L9" s="8" t="n">
        <v>21.1</v>
      </c>
      <c r="M9" s="8" t="n">
        <v>10.1</v>
      </c>
      <c r="N9" s="9">
        <f>MAX(B9:M9)</f>
        <v/>
      </c>
    </row>
    <row r="10">
      <c r="A10" s="7" t="inlineStr">
        <is>
          <t>Apsolutni minimum</t>
        </is>
      </c>
      <c r="B10" s="8" t="n">
        <v>-23.5</v>
      </c>
      <c r="C10" s="8" t="n">
        <v>-21.5</v>
      </c>
      <c r="D10" s="8" t="n">
        <v>-3.8</v>
      </c>
      <c r="E10" s="8" t="n">
        <v>-1.2</v>
      </c>
      <c r="F10" s="8" t="n">
        <v>6.7</v>
      </c>
      <c r="G10" s="8" t="n">
        <v>9.4</v>
      </c>
      <c r="H10" s="8" t="n">
        <v>15.1</v>
      </c>
      <c r="I10" s="8" t="n">
        <v>12.6</v>
      </c>
      <c r="J10" s="8" t="n">
        <v>5.4</v>
      </c>
      <c r="K10" s="8" t="n">
        <v>-0.1</v>
      </c>
      <c r="L10" s="8" t="n">
        <v>0.6</v>
      </c>
      <c r="M10" s="8" t="n">
        <v>-17.1</v>
      </c>
      <c r="N10" s="9">
        <f>MIN(B10:M10)</f>
        <v/>
      </c>
    </row>
    <row r="11">
      <c r="A11" s="7" t="inlineStr">
        <is>
          <t>Sr. br. mraznih dana</t>
        </is>
      </c>
      <c r="B11" s="10" t="n">
        <v>25</v>
      </c>
      <c r="C11" s="10" t="n">
        <v>28</v>
      </c>
      <c r="D11" s="10" t="n">
        <v>10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0</v>
      </c>
      <c r="M11" s="10" t="n">
        <v>22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14</v>
      </c>
      <c r="H12" s="10" t="n">
        <v>20</v>
      </c>
      <c r="I12" s="10" t="n">
        <v>18</v>
      </c>
      <c r="J12" s="10" t="n">
        <v>9</v>
      </c>
      <c r="K12" s="10" t="n">
        <v>2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83.09999999999999</v>
      </c>
      <c r="C14" s="8" t="n">
        <v>80.7</v>
      </c>
      <c r="D14" s="8" t="n">
        <v>67.09999999999999</v>
      </c>
      <c r="E14" s="8" t="n">
        <v>71.59999999999999</v>
      </c>
      <c r="F14" s="8" t="n">
        <v>74.5</v>
      </c>
      <c r="G14" s="8" t="n">
        <v>63</v>
      </c>
      <c r="H14" s="8" t="n">
        <v>53.4</v>
      </c>
      <c r="I14" s="8" t="n">
        <v>43.7</v>
      </c>
      <c r="J14" s="8" t="n">
        <v>55.6</v>
      </c>
      <c r="K14" s="8" t="n">
        <v>71.7</v>
      </c>
      <c r="L14" s="8" t="n">
        <v>81.7</v>
      </c>
      <c r="M14" s="8" t="n">
        <v>83.40000000000001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170.1</v>
      </c>
      <c r="C16" s="8" t="n">
        <v>178.2</v>
      </c>
      <c r="D16" s="8" t="n">
        <v>313.9</v>
      </c>
      <c r="E16" s="8" t="n">
        <v>320.6</v>
      </c>
      <c r="F16" s="8" t="n">
        <v>294.7</v>
      </c>
      <c r="G16" s="8" t="n">
        <v>432.9</v>
      </c>
      <c r="H16" s="8" t="n">
        <v>434.8</v>
      </c>
      <c r="I16" s="8" t="n">
        <v>404</v>
      </c>
      <c r="J16" s="8" t="n">
        <v>309.7</v>
      </c>
      <c r="K16" s="8" t="n">
        <v>268.2</v>
      </c>
      <c r="L16" s="8" t="n">
        <v>193.6</v>
      </c>
      <c r="M16" s="8" t="n">
        <v>132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2</v>
      </c>
      <c r="D17" s="10" t="n">
        <v>8</v>
      </c>
      <c r="E17" s="10" t="n">
        <v>7</v>
      </c>
      <c r="F17" s="10" t="n">
        <v>5</v>
      </c>
      <c r="G17" s="10" t="n">
        <v>15</v>
      </c>
      <c r="H17" s="10" t="n">
        <v>19</v>
      </c>
      <c r="I17" s="10" t="n">
        <v>22</v>
      </c>
      <c r="J17" s="10" t="n">
        <v>13</v>
      </c>
      <c r="K17" s="10" t="n">
        <v>8</v>
      </c>
      <c r="L17" s="10" t="n">
        <v>0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17</v>
      </c>
      <c r="D18" s="10" t="n">
        <v>3</v>
      </c>
      <c r="E18" s="10" t="n">
        <v>7</v>
      </c>
      <c r="F18" s="10" t="n">
        <v>11</v>
      </c>
      <c r="G18" s="10" t="n">
        <v>0</v>
      </c>
      <c r="H18" s="10" t="n">
        <v>0</v>
      </c>
      <c r="I18" s="10" t="n">
        <v>0</v>
      </c>
      <c r="J18" s="10" t="n">
        <v>5</v>
      </c>
      <c r="K18" s="10" t="n">
        <v>7</v>
      </c>
      <c r="L18" s="10" t="n">
        <v>13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125.6</v>
      </c>
      <c r="C20" s="8" t="n">
        <v>74.5</v>
      </c>
      <c r="D20" s="8" t="n">
        <v>17.1</v>
      </c>
      <c r="E20" s="8" t="n">
        <v>97.2</v>
      </c>
      <c r="F20" s="8" t="n">
        <v>153.8</v>
      </c>
      <c r="G20" s="8" t="n">
        <v>18.2</v>
      </c>
      <c r="H20" s="8" t="n">
        <v>30.8</v>
      </c>
      <c r="I20" s="8" t="n">
        <v>4</v>
      </c>
      <c r="J20" s="8" t="n">
        <v>19.3</v>
      </c>
      <c r="K20" s="8" t="n">
        <v>44.3</v>
      </c>
      <c r="L20" s="8" t="n">
        <v>26.4</v>
      </c>
      <c r="M20" s="8" t="n">
        <v>96.09999999999999</v>
      </c>
      <c r="N20" s="9">
        <f>SUM(B20:M20)</f>
        <v/>
      </c>
    </row>
    <row r="21">
      <c r="A21" s="7" t="inlineStr">
        <is>
          <t>Max. dnevna suma</t>
        </is>
      </c>
      <c r="B21" s="8" t="n">
        <v>26.8</v>
      </c>
      <c r="C21" s="8" t="n">
        <v>13.1</v>
      </c>
      <c r="D21" s="8" t="n">
        <v>12.4</v>
      </c>
      <c r="E21" s="8" t="n">
        <v>14.2</v>
      </c>
      <c r="F21" s="8" t="n">
        <v>28.2</v>
      </c>
      <c r="G21" s="8" t="n">
        <v>10</v>
      </c>
      <c r="H21" s="8" t="n">
        <v>13.6</v>
      </c>
      <c r="I21" s="8" t="n">
        <v>1.6</v>
      </c>
      <c r="J21" s="8" t="n">
        <v>11.3</v>
      </c>
      <c r="K21" s="8" t="n">
        <v>13.7</v>
      </c>
      <c r="L21" s="8" t="n">
        <v>12.4</v>
      </c>
      <c r="M21" s="8" t="n">
        <v>12.2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22</v>
      </c>
      <c r="C22" s="10" t="n">
        <v>21</v>
      </c>
      <c r="D22" s="10" t="n">
        <v>11</v>
      </c>
      <c r="E22" s="10" t="n">
        <v>20</v>
      </c>
      <c r="F22" s="10" t="n">
        <v>23</v>
      </c>
      <c r="G22" s="10" t="n">
        <v>12</v>
      </c>
      <c r="H22" s="10" t="n">
        <v>8</v>
      </c>
      <c r="I22" s="10" t="n">
        <v>4</v>
      </c>
      <c r="J22" s="10" t="n">
        <v>6</v>
      </c>
      <c r="K22" s="10" t="n">
        <v>11</v>
      </c>
      <c r="L22" s="10" t="n">
        <v>8</v>
      </c>
      <c r="M22" s="10" t="n">
        <v>18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1</v>
      </c>
      <c r="D23" s="10" t="n">
        <v>1</v>
      </c>
      <c r="E23" s="10" t="n">
        <v>3</v>
      </c>
      <c r="F23" s="10" t="n">
        <v>5</v>
      </c>
      <c r="G23" s="10" t="n">
        <v>1</v>
      </c>
      <c r="H23" s="10" t="n">
        <v>1</v>
      </c>
      <c r="I23" s="10" t="n">
        <v>0</v>
      </c>
      <c r="J23" s="10" t="n">
        <v>1</v>
      </c>
      <c r="K23" s="10" t="n">
        <v>1</v>
      </c>
      <c r="L23" s="10" t="n">
        <v>1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20</v>
      </c>
      <c r="C25" s="10" t="n">
        <v>22</v>
      </c>
      <c r="D25" s="10" t="n">
        <v>2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1</v>
      </c>
      <c r="L25" s="10" t="n">
        <v>0</v>
      </c>
      <c r="M25" s="10" t="n">
        <v>12</v>
      </c>
      <c r="N25" s="11">
        <f>SUM(B25:M25)</f>
        <v/>
      </c>
    </row>
    <row r="26">
      <c r="A26" s="7" t="inlineStr">
        <is>
          <t>snežnim pokrivačem</t>
        </is>
      </c>
      <c r="B26" s="10" t="n">
        <v>20</v>
      </c>
      <c r="C26" s="10" t="n">
        <v>22</v>
      </c>
      <c r="D26" s="10" t="n">
        <v>2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</v>
      </c>
      <c r="L26" s="10" t="n">
        <v>0</v>
      </c>
      <c r="M26" s="10" t="n">
        <v>12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2013.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2.1</v>
      </c>
      <c r="C6" s="8" t="n">
        <v>3.9</v>
      </c>
      <c r="D6" s="8" t="n">
        <v>5.6</v>
      </c>
      <c r="E6" s="8" t="n">
        <v>13.4</v>
      </c>
      <c r="F6" s="8" t="n">
        <v>18.3</v>
      </c>
      <c r="G6" s="8" t="n">
        <v>20.2</v>
      </c>
      <c r="H6" s="8" t="n">
        <v>23.4</v>
      </c>
      <c r="I6" s="8" t="n">
        <v>25.1</v>
      </c>
      <c r="J6" s="8" t="n">
        <v>17.4</v>
      </c>
      <c r="K6" s="8" t="n">
        <v>13.4</v>
      </c>
      <c r="L6" s="8" t="n">
        <v>8.800000000000001</v>
      </c>
      <c r="M6" s="8" t="n">
        <v>1.4</v>
      </c>
      <c r="N6" s="9">
        <f>AVERAGE(B6:M6)</f>
        <v/>
      </c>
    </row>
    <row r="7">
      <c r="A7" s="7" t="inlineStr">
        <is>
          <t>Srednja maksimalna</t>
        </is>
      </c>
      <c r="B7" s="8" t="n">
        <v>6.1</v>
      </c>
      <c r="C7" s="8" t="n">
        <v>7.9</v>
      </c>
      <c r="D7" s="8" t="n">
        <v>10.9</v>
      </c>
      <c r="E7" s="8" t="n">
        <v>19.1</v>
      </c>
      <c r="F7" s="8" t="n">
        <v>23.6</v>
      </c>
      <c r="G7" s="8" t="n">
        <v>24.8</v>
      </c>
      <c r="H7" s="8" t="n">
        <v>28.5</v>
      </c>
      <c r="I7" s="8" t="n">
        <v>30.5</v>
      </c>
      <c r="J7" s="8" t="n">
        <v>22.9</v>
      </c>
      <c r="K7" s="8" t="n">
        <v>19.6</v>
      </c>
      <c r="L7" s="8" t="n">
        <v>13.6</v>
      </c>
      <c r="M7" s="8" t="n">
        <v>5.9</v>
      </c>
      <c r="N7" s="9">
        <f>AVERAGE(B7:M7)</f>
        <v/>
      </c>
    </row>
    <row r="8">
      <c r="A8" s="7" t="inlineStr">
        <is>
          <t>Srednja minimalna</t>
        </is>
      </c>
      <c r="B8" s="8" t="n">
        <v>-1.6</v>
      </c>
      <c r="C8" s="8" t="n">
        <v>0.8</v>
      </c>
      <c r="D8" s="8" t="n">
        <v>1</v>
      </c>
      <c r="E8" s="8" t="n">
        <v>6.9</v>
      </c>
      <c r="F8" s="8" t="n">
        <v>12.3</v>
      </c>
      <c r="G8" s="8" t="n">
        <v>15.2</v>
      </c>
      <c r="H8" s="8" t="n">
        <v>17.3</v>
      </c>
      <c r="I8" s="8" t="n">
        <v>19.1</v>
      </c>
      <c r="J8" s="8" t="n">
        <v>11.9</v>
      </c>
      <c r="K8" s="8" t="n">
        <v>8.1</v>
      </c>
      <c r="L8" s="8" t="n">
        <v>5.1</v>
      </c>
      <c r="M8" s="8" t="n">
        <v>-1.8</v>
      </c>
      <c r="N8" s="9">
        <f>AVERAGE(B8:M8)</f>
        <v/>
      </c>
    </row>
    <row r="9">
      <c r="A9" s="7" t="inlineStr">
        <is>
          <t>Apsolutni maksimum</t>
        </is>
      </c>
      <c r="B9" s="8" t="n">
        <v>15</v>
      </c>
      <c r="C9" s="8" t="n">
        <v>14.6</v>
      </c>
      <c r="D9" s="8" t="n">
        <v>20.4</v>
      </c>
      <c r="E9" s="8" t="n">
        <v>30.1</v>
      </c>
      <c r="F9" s="8" t="n">
        <v>29.5</v>
      </c>
      <c r="G9" s="8" t="n">
        <v>34.8</v>
      </c>
      <c r="H9" s="8" t="n">
        <v>37.7</v>
      </c>
      <c r="I9" s="8" t="n">
        <v>36.3</v>
      </c>
      <c r="J9" s="8" t="n">
        <v>28.7</v>
      </c>
      <c r="K9" s="8" t="n">
        <v>25.8</v>
      </c>
      <c r="L9" s="8" t="n">
        <v>22</v>
      </c>
      <c r="M9" s="8" t="n">
        <v>10.5</v>
      </c>
      <c r="N9" s="9">
        <f>MAX(B9:M9)</f>
        <v/>
      </c>
    </row>
    <row r="10">
      <c r="A10" s="7" t="inlineStr">
        <is>
          <t>Apsolutni minimum</t>
        </is>
      </c>
      <c r="B10" s="8" t="n">
        <v>-10.2</v>
      </c>
      <c r="C10" s="8" t="n">
        <v>-3.6</v>
      </c>
      <c r="D10" s="8" t="n">
        <v>-3.7</v>
      </c>
      <c r="E10" s="8" t="n">
        <v>1.9</v>
      </c>
      <c r="F10" s="8" t="n">
        <v>7.1</v>
      </c>
      <c r="G10" s="8" t="n">
        <v>9.1</v>
      </c>
      <c r="H10" s="8" t="n">
        <v>11.9</v>
      </c>
      <c r="I10" s="8" t="n">
        <v>13.4</v>
      </c>
      <c r="J10" s="8" t="n">
        <v>7.5</v>
      </c>
      <c r="K10" s="8" t="n">
        <v>-0.1</v>
      </c>
      <c r="L10" s="8" t="n">
        <v>-5.4</v>
      </c>
      <c r="M10" s="8" t="n">
        <v>-6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9</v>
      </c>
      <c r="D11" s="10" t="n">
        <v>16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4</v>
      </c>
      <c r="M11" s="10" t="n">
        <v>22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1</v>
      </c>
      <c r="F12" s="10" t="n">
        <v>0</v>
      </c>
      <c r="G12" s="10" t="n">
        <v>8</v>
      </c>
      <c r="H12" s="10" t="n">
        <v>8</v>
      </c>
      <c r="I12" s="10" t="n">
        <v>19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82.40000000000001</v>
      </c>
      <c r="C14" s="8" t="n">
        <v>80.59999999999999</v>
      </c>
      <c r="D14" s="8" t="n">
        <v>75.5</v>
      </c>
      <c r="E14" s="8" t="n">
        <v>70.3</v>
      </c>
      <c r="F14" s="8" t="n">
        <v>66.5</v>
      </c>
      <c r="G14" s="8" t="n">
        <v>71.8</v>
      </c>
      <c r="H14" s="8" t="n">
        <v>57.3</v>
      </c>
      <c r="I14" s="8" t="n">
        <v>53.5</v>
      </c>
      <c r="J14" s="8" t="n">
        <v>64.09999999999999</v>
      </c>
      <c r="K14" s="8" t="n">
        <v>75.5</v>
      </c>
      <c r="L14" s="8" t="n">
        <v>80.90000000000001</v>
      </c>
      <c r="M14" s="8" t="n">
        <v>80.5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170.8</v>
      </c>
      <c r="C16" s="8" t="n">
        <v>135.1</v>
      </c>
      <c r="D16" s="8" t="n">
        <v>238.8</v>
      </c>
      <c r="E16" s="8" t="n">
        <v>327.3</v>
      </c>
      <c r="F16" s="8" t="n">
        <v>361.5</v>
      </c>
      <c r="G16" s="8" t="n">
        <v>371</v>
      </c>
      <c r="H16" s="8" t="n">
        <v>426.7</v>
      </c>
      <c r="I16" s="8" t="n">
        <v>389.2</v>
      </c>
      <c r="J16" s="8" t="n">
        <v>306.8</v>
      </c>
      <c r="K16" s="8" t="n">
        <v>263.5</v>
      </c>
      <c r="L16" s="8" t="n">
        <v>176.5</v>
      </c>
      <c r="M16" s="8" t="n">
        <v>203.6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0</v>
      </c>
      <c r="D17" s="10" t="n">
        <v>3</v>
      </c>
      <c r="E17" s="10" t="n">
        <v>9</v>
      </c>
      <c r="F17" s="10" t="n">
        <v>3</v>
      </c>
      <c r="G17" s="10" t="n">
        <v>5</v>
      </c>
      <c r="H17" s="10" t="n">
        <v>11</v>
      </c>
      <c r="I17" s="10" t="n">
        <v>15</v>
      </c>
      <c r="J17" s="10" t="n">
        <v>6</v>
      </c>
      <c r="K17" s="10" t="n">
        <v>10</v>
      </c>
      <c r="L17" s="10" t="n">
        <v>3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16</v>
      </c>
      <c r="C18" s="10" t="n">
        <v>19</v>
      </c>
      <c r="D18" s="10" t="n">
        <v>14</v>
      </c>
      <c r="E18" s="10" t="n">
        <v>4</v>
      </c>
      <c r="F18" s="10" t="n">
        <v>7</v>
      </c>
      <c r="G18" s="10" t="n">
        <v>6</v>
      </c>
      <c r="H18" s="10" t="n">
        <v>0</v>
      </c>
      <c r="I18" s="10" t="n">
        <v>0</v>
      </c>
      <c r="J18" s="10" t="n">
        <v>2</v>
      </c>
      <c r="K18" s="10" t="n">
        <v>7</v>
      </c>
      <c r="L18" s="10" t="n">
        <v>16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75</v>
      </c>
      <c r="C20" s="8" t="n">
        <v>60.3</v>
      </c>
      <c r="D20" s="8" t="n">
        <v>99.3</v>
      </c>
      <c r="E20" s="8" t="n">
        <v>58.3</v>
      </c>
      <c r="F20" s="8" t="n">
        <v>96.90000000000001</v>
      </c>
      <c r="G20" s="8" t="n">
        <v>86.59999999999999</v>
      </c>
      <c r="H20" s="8" t="n">
        <v>23.1</v>
      </c>
      <c r="I20" s="8" t="n">
        <v>15</v>
      </c>
      <c r="J20" s="8" t="n">
        <v>43.8</v>
      </c>
      <c r="K20" s="8" t="n">
        <v>52.9</v>
      </c>
      <c r="L20" s="8" t="n">
        <v>50.3</v>
      </c>
      <c r="M20" s="8" t="n">
        <v>16.4</v>
      </c>
      <c r="N20" s="9">
        <f>SUM(B20:M20)</f>
        <v/>
      </c>
    </row>
    <row r="21">
      <c r="A21" s="7" t="inlineStr">
        <is>
          <t>Max. dnevna suma</t>
        </is>
      </c>
      <c r="B21" s="8" t="n">
        <v>16.4</v>
      </c>
      <c r="C21" s="8" t="n">
        <v>11.4</v>
      </c>
      <c r="D21" s="8" t="n">
        <v>24.2</v>
      </c>
      <c r="E21" s="8" t="n">
        <v>17.2</v>
      </c>
      <c r="F21" s="8" t="n">
        <v>21.4</v>
      </c>
      <c r="G21" s="8" t="n">
        <v>20.2</v>
      </c>
      <c r="H21" s="8" t="n">
        <v>7</v>
      </c>
      <c r="I21" s="8" t="n">
        <v>9.6</v>
      </c>
      <c r="J21" s="8" t="n">
        <v>18.8</v>
      </c>
      <c r="K21" s="8" t="n">
        <v>21.1</v>
      </c>
      <c r="L21" s="8" t="n">
        <v>10.6</v>
      </c>
      <c r="M21" s="8" t="n">
        <v>5.9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20</v>
      </c>
      <c r="D22" s="10" t="n">
        <v>21</v>
      </c>
      <c r="E22" s="10" t="n">
        <v>16</v>
      </c>
      <c r="F22" s="10" t="n">
        <v>22</v>
      </c>
      <c r="G22" s="10" t="n">
        <v>18</v>
      </c>
      <c r="H22" s="10" t="n">
        <v>11</v>
      </c>
      <c r="I22" s="10" t="n">
        <v>10</v>
      </c>
      <c r="J22" s="10" t="n">
        <v>11</v>
      </c>
      <c r="K22" s="10" t="n">
        <v>11</v>
      </c>
      <c r="L22" s="10" t="n">
        <v>11</v>
      </c>
      <c r="M22" s="10" t="n">
        <v>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1</v>
      </c>
      <c r="D23" s="10" t="n">
        <v>4</v>
      </c>
      <c r="E23" s="10" t="n">
        <v>2</v>
      </c>
      <c r="F23" s="10" t="n">
        <v>4</v>
      </c>
      <c r="G23" s="10" t="n">
        <v>2</v>
      </c>
      <c r="H23" s="10" t="n">
        <v>0</v>
      </c>
      <c r="I23" s="10" t="n">
        <v>0</v>
      </c>
      <c r="J23" s="10" t="n">
        <v>1</v>
      </c>
      <c r="K23" s="10" t="n">
        <v>1</v>
      </c>
      <c r="L23" s="10" t="n">
        <v>1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14</v>
      </c>
      <c r="C25" s="10" t="n">
        <v>14</v>
      </c>
      <c r="D25" s="10" t="n">
        <v>8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14</v>
      </c>
      <c r="C26" s="10" t="n">
        <v>14</v>
      </c>
      <c r="D26" s="10" t="n">
        <v>8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2014.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2.9</v>
      </c>
      <c r="C6" s="8" t="n">
        <v>5.4</v>
      </c>
      <c r="D6" s="8" t="n">
        <v>9.199999999999999</v>
      </c>
      <c r="E6" s="8" t="n">
        <v>12.1</v>
      </c>
      <c r="F6" s="8" t="n">
        <v>15.4</v>
      </c>
      <c r="G6" s="8" t="n">
        <v>19.5</v>
      </c>
      <c r="H6" s="8" t="n">
        <v>21.9</v>
      </c>
      <c r="I6" s="8" t="n">
        <v>21.7</v>
      </c>
      <c r="J6" s="8" t="n">
        <v>17.4</v>
      </c>
      <c r="K6" s="8" t="n">
        <v>12.1</v>
      </c>
      <c r="L6" s="8" t="n">
        <v>8.1</v>
      </c>
      <c r="M6" s="8" t="n">
        <v>1.9</v>
      </c>
      <c r="N6" s="9">
        <f>AVERAGE(B6:M6)</f>
        <v/>
      </c>
    </row>
    <row r="7">
      <c r="A7" s="7" t="inlineStr">
        <is>
          <t>Srednja maksimalna</t>
        </is>
      </c>
      <c r="B7" s="8" t="n">
        <v>8.1</v>
      </c>
      <c r="C7" s="8" t="n">
        <v>11.6</v>
      </c>
      <c r="D7" s="8" t="n">
        <v>14.7</v>
      </c>
      <c r="E7" s="8" t="n">
        <v>16.8</v>
      </c>
      <c r="F7" s="8" t="n">
        <v>20</v>
      </c>
      <c r="G7" s="8" t="n">
        <v>24.4</v>
      </c>
      <c r="H7" s="8" t="n">
        <v>26.7</v>
      </c>
      <c r="I7" s="8" t="n">
        <v>26.7</v>
      </c>
      <c r="J7" s="8" t="n">
        <v>21.9</v>
      </c>
      <c r="K7" s="8" t="n">
        <v>17.3</v>
      </c>
      <c r="L7" s="8" t="n">
        <v>12.1</v>
      </c>
      <c r="M7" s="8" t="n">
        <v>5.9</v>
      </c>
      <c r="N7" s="9">
        <f>AVERAGE(B7:M7)</f>
        <v/>
      </c>
    </row>
    <row r="8">
      <c r="A8" s="7" t="inlineStr">
        <is>
          <t>Srednja minimalna</t>
        </is>
      </c>
      <c r="B8" s="8" t="n">
        <v>-0.9</v>
      </c>
      <c r="C8" s="8" t="n">
        <v>0.6</v>
      </c>
      <c r="D8" s="8" t="n">
        <v>4</v>
      </c>
      <c r="E8" s="8" t="n">
        <v>7.5</v>
      </c>
      <c r="F8" s="8" t="n">
        <v>10.1</v>
      </c>
      <c r="G8" s="8" t="n">
        <v>14.3</v>
      </c>
      <c r="H8" s="8" t="n">
        <v>16.9</v>
      </c>
      <c r="I8" s="8" t="n">
        <v>16.4</v>
      </c>
      <c r="J8" s="8" t="n">
        <v>13.4</v>
      </c>
      <c r="K8" s="8" t="n">
        <v>7.6</v>
      </c>
      <c r="L8" s="8" t="n">
        <v>5</v>
      </c>
      <c r="M8" s="8" t="n">
        <v>-1.1</v>
      </c>
      <c r="N8" s="9">
        <f>AVERAGE(B8:M8)</f>
        <v/>
      </c>
    </row>
    <row r="9">
      <c r="A9" s="7" t="inlineStr">
        <is>
          <t>Apsolutni maksimum</t>
        </is>
      </c>
      <c r="B9" s="8" t="n">
        <v>14.8</v>
      </c>
      <c r="C9" s="8" t="n">
        <v>20.4</v>
      </c>
      <c r="D9" s="8" t="n">
        <v>21.2</v>
      </c>
      <c r="E9" s="8" t="n">
        <v>23.4</v>
      </c>
      <c r="F9" s="8" t="n">
        <v>26.6</v>
      </c>
      <c r="G9" s="8" t="n">
        <v>29.3</v>
      </c>
      <c r="H9" s="8" t="n">
        <v>32.5</v>
      </c>
      <c r="I9" s="8" t="n">
        <v>34.2</v>
      </c>
      <c r="J9" s="8" t="n">
        <v>28.1</v>
      </c>
      <c r="K9" s="8" t="n">
        <v>26.5</v>
      </c>
      <c r="L9" s="8" t="n">
        <v>20</v>
      </c>
      <c r="M9" s="8" t="n">
        <v>12.1</v>
      </c>
      <c r="N9" s="9">
        <f>MAX(B9:M9)</f>
        <v/>
      </c>
    </row>
    <row r="10">
      <c r="A10" s="7" t="inlineStr">
        <is>
          <t>Apsolutni minimum</t>
        </is>
      </c>
      <c r="B10" s="8" t="n">
        <v>-9.1</v>
      </c>
      <c r="C10" s="8" t="n">
        <v>-9.199999999999999</v>
      </c>
      <c r="D10" s="8" t="n">
        <v>-0.7</v>
      </c>
      <c r="E10" s="8" t="n">
        <v>3.9</v>
      </c>
      <c r="F10" s="8" t="n">
        <v>5.8</v>
      </c>
      <c r="G10" s="8" t="n">
        <v>10</v>
      </c>
      <c r="H10" s="8" t="n">
        <v>11.8</v>
      </c>
      <c r="I10" s="8" t="n">
        <v>12.3</v>
      </c>
      <c r="J10" s="8" t="n">
        <v>6.5</v>
      </c>
      <c r="K10" s="8" t="n">
        <v>0.7</v>
      </c>
      <c r="L10" s="8" t="n">
        <v>-2.2</v>
      </c>
      <c r="M10" s="8" t="n">
        <v>-16.1</v>
      </c>
      <c r="N10" s="9">
        <f>MIN(B10:M10)</f>
        <v/>
      </c>
    </row>
    <row r="11">
      <c r="A11" s="7" t="inlineStr">
        <is>
          <t>Sr. br. mraznih dana</t>
        </is>
      </c>
      <c r="B11" s="10" t="n">
        <v>16</v>
      </c>
      <c r="C11" s="10" t="n">
        <v>13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4</v>
      </c>
      <c r="I12" s="10" t="n">
        <v>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84.8</v>
      </c>
      <c r="C14" s="8" t="n">
        <v>77.09999999999999</v>
      </c>
      <c r="D14" s="8" t="n">
        <v>74.90000000000001</v>
      </c>
      <c r="E14" s="8" t="n">
        <v>77.3</v>
      </c>
      <c r="F14" s="8" t="n">
        <v>77.3</v>
      </c>
      <c r="G14" s="8" t="n">
        <v>75</v>
      </c>
      <c r="H14" s="8" t="n">
        <v>75.2</v>
      </c>
      <c r="I14" s="8" t="n">
        <v>74.8</v>
      </c>
      <c r="J14" s="8" t="n">
        <v>81</v>
      </c>
      <c r="K14" s="8" t="n">
        <v>81.09999999999999</v>
      </c>
      <c r="L14" s="8" t="n">
        <v>85.3</v>
      </c>
      <c r="M14" s="8" t="n">
        <v>85.7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196.7</v>
      </c>
      <c r="C16" s="8" t="n">
        <v>229.4</v>
      </c>
      <c r="D16" s="8" t="n">
        <v>263.1</v>
      </c>
      <c r="E16" s="8" t="n">
        <v>263.6</v>
      </c>
      <c r="F16" s="8" t="n">
        <v>306.1</v>
      </c>
      <c r="G16" s="8" t="n">
        <v>382.6</v>
      </c>
      <c r="H16" s="8" t="n">
        <v>380.6</v>
      </c>
      <c r="I16" s="8" t="n">
        <v>359.6</v>
      </c>
      <c r="J16" s="8" t="n">
        <v>265.5</v>
      </c>
      <c r="K16" s="8" t="n">
        <v>249.5</v>
      </c>
      <c r="L16" s="8" t="n">
        <v>176.5</v>
      </c>
      <c r="M16" s="8" t="n">
        <v>153.5</v>
      </c>
      <c r="N16" s="9">
        <f>SUM(B16:M16)</f>
        <v/>
      </c>
    </row>
    <row r="17">
      <c r="A17" s="7" t="inlineStr">
        <is>
          <t>Broj vedrih dana</t>
        </is>
      </c>
      <c r="B17" s="10" t="n">
        <v>0</v>
      </c>
      <c r="C17" s="10" t="n">
        <v>4</v>
      </c>
      <c r="D17" s="10" t="n">
        <v>8</v>
      </c>
      <c r="E17" s="10" t="n">
        <v>1</v>
      </c>
      <c r="F17" s="10" t="n">
        <v>4</v>
      </c>
      <c r="G17" s="10" t="n">
        <v>7</v>
      </c>
      <c r="H17" s="10" t="n">
        <v>5</v>
      </c>
      <c r="I17" s="10" t="n">
        <v>6</v>
      </c>
      <c r="J17" s="10" t="n">
        <v>1</v>
      </c>
      <c r="K17" s="10" t="n">
        <v>6</v>
      </c>
      <c r="L17" s="10" t="n">
        <v>3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10</v>
      </c>
      <c r="D18" s="10" t="n">
        <v>9</v>
      </c>
      <c r="E18" s="10" t="n">
        <v>12</v>
      </c>
      <c r="F18" s="10" t="n">
        <v>13</v>
      </c>
      <c r="G18" s="10" t="n">
        <v>6</v>
      </c>
      <c r="H18" s="10" t="n">
        <v>6</v>
      </c>
      <c r="I18" s="10" t="n">
        <v>5</v>
      </c>
      <c r="J18" s="10" t="n">
        <v>12</v>
      </c>
      <c r="K18" s="10" t="n">
        <v>10</v>
      </c>
      <c r="L18" s="10" t="n">
        <v>13</v>
      </c>
      <c r="M18" s="10" t="n">
        <v>15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39.5</v>
      </c>
      <c r="C20" s="8" t="n">
        <v>16.9</v>
      </c>
      <c r="D20" s="8" t="n">
        <v>83.40000000000001</v>
      </c>
      <c r="E20" s="8" t="n">
        <v>191.3</v>
      </c>
      <c r="F20" s="8" t="n">
        <v>156.8</v>
      </c>
      <c r="G20" s="8" t="n">
        <v>106.5</v>
      </c>
      <c r="H20" s="8" t="n">
        <v>149.2</v>
      </c>
      <c r="I20" s="8" t="n">
        <v>79.8</v>
      </c>
      <c r="J20" s="8" t="n">
        <v>172.1</v>
      </c>
      <c r="K20" s="8" t="n">
        <v>50.3</v>
      </c>
      <c r="L20" s="8" t="n">
        <v>46.6</v>
      </c>
      <c r="M20" s="8" t="n">
        <v>76.8</v>
      </c>
      <c r="N20" s="9">
        <f>SUM(B20:M20)</f>
        <v/>
      </c>
    </row>
    <row r="21">
      <c r="A21" s="7" t="inlineStr">
        <is>
          <t>Max. dnevna suma</t>
        </is>
      </c>
      <c r="B21" s="8" t="n">
        <v>12.1</v>
      </c>
      <c r="C21" s="8" t="n">
        <v>4.6</v>
      </c>
      <c r="D21" s="8" t="n">
        <v>15.3</v>
      </c>
      <c r="E21" s="8" t="n">
        <v>33.3</v>
      </c>
      <c r="F21" s="8" t="n">
        <v>33.3</v>
      </c>
      <c r="G21" s="8" t="n">
        <v>20.1</v>
      </c>
      <c r="H21" s="8" t="n">
        <v>26.5</v>
      </c>
      <c r="I21" s="8" t="n">
        <v>12.9</v>
      </c>
      <c r="J21" s="8" t="n">
        <v>28.8</v>
      </c>
      <c r="K21" s="8" t="n">
        <v>14.8</v>
      </c>
      <c r="L21" s="8" t="n">
        <v>12.3</v>
      </c>
      <c r="M21" s="8" t="n">
        <v>22.4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11</v>
      </c>
      <c r="D22" s="10" t="n">
        <v>18</v>
      </c>
      <c r="E22" s="10" t="n">
        <v>23</v>
      </c>
      <c r="F22" s="10" t="n">
        <v>22</v>
      </c>
      <c r="G22" s="10" t="n">
        <v>20</v>
      </c>
      <c r="H22" s="10" t="n">
        <v>23</v>
      </c>
      <c r="I22" s="10" t="n">
        <v>20</v>
      </c>
      <c r="J22" s="10" t="n">
        <v>24</v>
      </c>
      <c r="K22" s="10" t="n">
        <v>9</v>
      </c>
      <c r="L22" s="10" t="n">
        <v>11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0</v>
      </c>
      <c r="D23" s="10" t="n">
        <v>3</v>
      </c>
      <c r="E23" s="10" t="n">
        <v>5</v>
      </c>
      <c r="F23" s="10" t="n">
        <v>4</v>
      </c>
      <c r="G23" s="10" t="n">
        <v>4</v>
      </c>
      <c r="H23" s="10" t="n">
        <v>5</v>
      </c>
      <c r="I23" s="10" t="n">
        <v>3</v>
      </c>
      <c r="J23" s="10" t="n">
        <v>7</v>
      </c>
      <c r="K23" s="10" t="n">
        <v>2</v>
      </c>
      <c r="L23" s="10" t="n">
        <v>2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2</v>
      </c>
      <c r="D25" s="10" t="n">
        <v>5</v>
      </c>
      <c r="E25" s="10" t="n">
        <v>4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3</v>
      </c>
      <c r="L25" s="10" t="n">
        <v>0</v>
      </c>
      <c r="M25" s="10" t="n">
        <v>10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2</v>
      </c>
      <c r="D26" s="10" t="n">
        <v>5</v>
      </c>
      <c r="E26" s="10" t="n">
        <v>4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3</v>
      </c>
      <c r="L26" s="10" t="n">
        <v>0</v>
      </c>
      <c r="M26" s="10" t="n">
        <v>10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2015.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</v>
      </c>
      <c r="C6" s="8" t="n">
        <v>2.7</v>
      </c>
      <c r="D6" s="8" t="n">
        <v>5.8</v>
      </c>
      <c r="E6" s="8" t="n">
        <v>11</v>
      </c>
      <c r="F6" s="8" t="n">
        <v>17.9</v>
      </c>
      <c r="G6" s="8" t="n">
        <v>20.2</v>
      </c>
      <c r="H6" s="8" t="n">
        <v>25.7</v>
      </c>
      <c r="I6" s="8" t="n">
        <v>25.5</v>
      </c>
      <c r="J6" s="8" t="n">
        <v>20.1</v>
      </c>
      <c r="K6" s="8" t="n">
        <v>11.9</v>
      </c>
      <c r="L6" s="8" t="n">
        <v>7</v>
      </c>
      <c r="M6" s="8" t="n">
        <v>3.3</v>
      </c>
      <c r="N6" s="9">
        <f>AVERAGE(B6:M6)</f>
        <v/>
      </c>
    </row>
    <row r="7">
      <c r="A7" s="7" t="inlineStr">
        <is>
          <t>Srednja maksimalna</t>
        </is>
      </c>
      <c r="B7" s="8" t="n">
        <v>5.7</v>
      </c>
      <c r="C7" s="8" t="n">
        <v>7.1</v>
      </c>
      <c r="D7" s="8" t="n">
        <v>10.7</v>
      </c>
      <c r="E7" s="8" t="n">
        <v>16.2</v>
      </c>
      <c r="F7" s="8" t="n">
        <v>22.9</v>
      </c>
      <c r="G7" s="8" t="n">
        <v>24.9</v>
      </c>
      <c r="H7" s="8" t="n">
        <v>31</v>
      </c>
      <c r="I7" s="8" t="n">
        <v>30.8</v>
      </c>
      <c r="J7" s="8" t="n">
        <v>24.9</v>
      </c>
      <c r="K7" s="8" t="n">
        <v>16.3</v>
      </c>
      <c r="L7" s="8" t="n">
        <v>12.9</v>
      </c>
      <c r="M7" s="8" t="n">
        <v>7.9</v>
      </c>
      <c r="N7" s="9">
        <f>AVERAGE(B7:M7)</f>
        <v/>
      </c>
    </row>
    <row r="8">
      <c r="A8" s="7" t="inlineStr">
        <is>
          <t>Srednja minimalna</t>
        </is>
      </c>
      <c r="B8" s="8" t="n">
        <v>-3.2</v>
      </c>
      <c r="C8" s="8" t="n">
        <v>-0.8</v>
      </c>
      <c r="D8" s="8" t="n">
        <v>1.4</v>
      </c>
      <c r="E8" s="8" t="n">
        <v>5.1</v>
      </c>
      <c r="F8" s="8" t="n">
        <v>12</v>
      </c>
      <c r="G8" s="8" t="n">
        <v>15.1</v>
      </c>
      <c r="H8" s="8" t="n">
        <v>19.3</v>
      </c>
      <c r="I8" s="8" t="n">
        <v>19.9</v>
      </c>
      <c r="J8" s="8" t="n">
        <v>15.4</v>
      </c>
      <c r="K8" s="8" t="n">
        <v>8.300000000000001</v>
      </c>
      <c r="L8" s="8" t="n">
        <v>2.4</v>
      </c>
      <c r="M8" s="8" t="n">
        <v>-0.1</v>
      </c>
      <c r="N8" s="9">
        <f>AVERAGE(B8:M8)</f>
        <v/>
      </c>
    </row>
    <row r="9">
      <c r="A9" s="7" t="inlineStr">
        <is>
          <t>Apsolutni maksimum</t>
        </is>
      </c>
      <c r="B9" s="8" t="n">
        <v>13.3</v>
      </c>
      <c r="C9" s="8" t="n">
        <v>15</v>
      </c>
      <c r="D9" s="8" t="n">
        <v>18.3</v>
      </c>
      <c r="E9" s="8" t="n">
        <v>24.5</v>
      </c>
      <c r="F9" s="8" t="n">
        <v>31.7</v>
      </c>
      <c r="G9" s="8" t="n">
        <v>32.9</v>
      </c>
      <c r="H9" s="8" t="n">
        <v>36.4</v>
      </c>
      <c r="I9" s="8" t="n">
        <v>35.7</v>
      </c>
      <c r="J9" s="8" t="n">
        <v>36</v>
      </c>
      <c r="K9" s="8" t="n">
        <v>23.9</v>
      </c>
      <c r="L9" s="8" t="n">
        <v>19.9</v>
      </c>
      <c r="M9" s="8" t="n">
        <v>13.5</v>
      </c>
      <c r="N9" s="9">
        <f>MAX(B9:M9)</f>
        <v/>
      </c>
    </row>
    <row r="10">
      <c r="A10" s="7" t="inlineStr">
        <is>
          <t>Apsolutni minimum</t>
        </is>
      </c>
      <c r="B10" s="8" t="n">
        <v>-18.5</v>
      </c>
      <c r="C10" s="8" t="n">
        <v>-6.5</v>
      </c>
      <c r="D10" s="8" t="n">
        <v>-2.1</v>
      </c>
      <c r="E10" s="8" t="n">
        <v>-0.7</v>
      </c>
      <c r="F10" s="8" t="n">
        <v>6.3</v>
      </c>
      <c r="G10" s="8" t="n">
        <v>9.800000000000001</v>
      </c>
      <c r="H10" s="8" t="n">
        <v>14.1</v>
      </c>
      <c r="I10" s="8" t="n">
        <v>14.5</v>
      </c>
      <c r="J10" s="8" t="n">
        <v>11.4</v>
      </c>
      <c r="K10" s="8" t="n">
        <v>1.9</v>
      </c>
      <c r="L10" s="8" t="n">
        <v>-2.1</v>
      </c>
      <c r="M10" s="8" t="n">
        <v>-5.6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19</v>
      </c>
      <c r="D11" s="10" t="n">
        <v>8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20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4</v>
      </c>
      <c r="H12" s="10" t="n">
        <v>17</v>
      </c>
      <c r="I12" s="10" t="n">
        <v>21</v>
      </c>
      <c r="J12" s="10" t="n">
        <v>9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83.59999999999999</v>
      </c>
      <c r="C14" s="8" t="n">
        <v>77.8</v>
      </c>
      <c r="D14" s="8" t="n">
        <v>77.40000000000001</v>
      </c>
      <c r="E14" s="8" t="n">
        <v>66.40000000000001</v>
      </c>
      <c r="F14" s="8" t="n">
        <v>72.5</v>
      </c>
      <c r="G14" s="8" t="n">
        <v>68.2</v>
      </c>
      <c r="H14" s="8" t="n">
        <v>53.8</v>
      </c>
      <c r="I14" s="8" t="n">
        <v>52.8</v>
      </c>
      <c r="J14" s="8" t="n">
        <v>70</v>
      </c>
      <c r="K14" s="8" t="n">
        <v>82.40000000000001</v>
      </c>
      <c r="L14" s="8" t="n">
        <v>81.59999999999999</v>
      </c>
      <c r="M14" s="8" t="n">
        <v>86.5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172.4</v>
      </c>
      <c r="C16" s="8" t="n">
        <v>189.9</v>
      </c>
      <c r="D16" s="8" t="n">
        <v>223.1</v>
      </c>
      <c r="E16" s="8" t="n">
        <v>309.9</v>
      </c>
      <c r="F16" s="8" t="n">
        <v>352.1</v>
      </c>
      <c r="G16" s="8" t="n">
        <v>373.4</v>
      </c>
      <c r="H16" s="8" t="n">
        <v>440.8</v>
      </c>
      <c r="I16" s="8" t="n">
        <v>386.2</v>
      </c>
      <c r="J16" s="8" t="n">
        <v>241.8</v>
      </c>
      <c r="K16" s="8" t="n">
        <v>198.6</v>
      </c>
      <c r="L16" s="8" t="n">
        <v>192.6</v>
      </c>
      <c r="M16" s="8" t="n">
        <v>203.2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7</v>
      </c>
      <c r="D17" s="10" t="n">
        <v>4</v>
      </c>
      <c r="E17" s="10" t="n">
        <v>2</v>
      </c>
      <c r="F17" s="10" t="n">
        <v>3</v>
      </c>
      <c r="G17" s="10" t="n">
        <v>6</v>
      </c>
      <c r="H17" s="10" t="n">
        <v>18</v>
      </c>
      <c r="I17" s="10" t="n">
        <v>14</v>
      </c>
      <c r="J17" s="10" t="n">
        <v>7</v>
      </c>
      <c r="K17" s="10" t="n">
        <v>0</v>
      </c>
      <c r="L17" s="10" t="n">
        <v>11</v>
      </c>
      <c r="M17" s="10" t="n">
        <v>9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13</v>
      </c>
      <c r="D18" s="10" t="n">
        <v>11</v>
      </c>
      <c r="E18" s="10" t="n">
        <v>10</v>
      </c>
      <c r="F18" s="10" t="n">
        <v>7</v>
      </c>
      <c r="G18" s="10" t="n">
        <v>7</v>
      </c>
      <c r="H18" s="10" t="n">
        <v>0</v>
      </c>
      <c r="I18" s="10" t="n">
        <v>2</v>
      </c>
      <c r="J18" s="10" t="n">
        <v>10</v>
      </c>
      <c r="K18" s="10" t="n">
        <v>13</v>
      </c>
      <c r="L18" s="10" t="n">
        <v>9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58.3</v>
      </c>
      <c r="C20" s="8" t="n">
        <v>59.1</v>
      </c>
      <c r="D20" s="8" t="n">
        <v>129.6</v>
      </c>
      <c r="E20" s="8" t="n">
        <v>73.09999999999999</v>
      </c>
      <c r="F20" s="8" t="n">
        <v>70.8</v>
      </c>
      <c r="G20" s="8" t="n">
        <v>65.5</v>
      </c>
      <c r="H20" s="8" t="n">
        <v>4.2</v>
      </c>
      <c r="I20" s="8" t="n">
        <v>20.7</v>
      </c>
      <c r="J20" s="8" t="n">
        <v>69.09999999999999</v>
      </c>
      <c r="K20" s="8" t="n">
        <v>88.7</v>
      </c>
      <c r="L20" s="8" t="n">
        <v>56.9</v>
      </c>
      <c r="M20" s="8" t="n">
        <v>9.699999999999999</v>
      </c>
      <c r="N20" s="9">
        <f>SUM(B20:M20)</f>
        <v/>
      </c>
    </row>
    <row r="21">
      <c r="A21" s="7" t="inlineStr">
        <is>
          <t>Max. dnevna suma</t>
        </is>
      </c>
      <c r="B21" s="8" t="n">
        <v>10.2</v>
      </c>
      <c r="C21" s="8" t="n">
        <v>15.2</v>
      </c>
      <c r="D21" s="8" t="n">
        <v>26.1</v>
      </c>
      <c r="E21" s="8" t="n">
        <v>15.1</v>
      </c>
      <c r="F21" s="8" t="n">
        <v>16.9</v>
      </c>
      <c r="G21" s="8" t="n">
        <v>10.1</v>
      </c>
      <c r="H21" s="8" t="n">
        <v>1.5</v>
      </c>
      <c r="I21" s="8" t="n">
        <v>14.1</v>
      </c>
      <c r="J21" s="8" t="n">
        <v>25.6</v>
      </c>
      <c r="K21" s="8" t="n">
        <v>16.6</v>
      </c>
      <c r="L21" s="8" t="n">
        <v>17.7</v>
      </c>
      <c r="M21" s="8" t="n">
        <v>3.3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17</v>
      </c>
      <c r="D22" s="10" t="n">
        <v>19</v>
      </c>
      <c r="E22" s="10" t="n">
        <v>16</v>
      </c>
      <c r="F22" s="10" t="n">
        <v>19</v>
      </c>
      <c r="G22" s="10" t="n">
        <v>19</v>
      </c>
      <c r="H22" s="10" t="n">
        <v>8</v>
      </c>
      <c r="I22" s="10" t="n">
        <v>11</v>
      </c>
      <c r="J22" s="10" t="n">
        <v>17</v>
      </c>
      <c r="K22" s="10" t="n">
        <v>17</v>
      </c>
      <c r="L22" s="10" t="n">
        <v>7</v>
      </c>
      <c r="M22" s="10" t="n">
        <v>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1</v>
      </c>
      <c r="D23" s="10" t="n">
        <v>5</v>
      </c>
      <c r="E23" s="10" t="n">
        <v>3</v>
      </c>
      <c r="F23" s="10" t="n">
        <v>3</v>
      </c>
      <c r="G23" s="10" t="n">
        <v>1</v>
      </c>
      <c r="H23" s="10" t="n">
        <v>0</v>
      </c>
      <c r="I23" s="10" t="n">
        <v>1</v>
      </c>
      <c r="J23" s="10" t="n">
        <v>2</v>
      </c>
      <c r="K23" s="10" t="n">
        <v>4</v>
      </c>
      <c r="L23" s="10" t="n">
        <v>3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14</v>
      </c>
      <c r="C25" s="10" t="n">
        <v>10</v>
      </c>
      <c r="D25" s="10" t="n">
        <v>11</v>
      </c>
      <c r="E25" s="10" t="n">
        <v>4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5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14</v>
      </c>
      <c r="C26" s="10" t="n">
        <v>10</v>
      </c>
      <c r="D26" s="10" t="n">
        <v>11</v>
      </c>
      <c r="E26" s="10" t="n">
        <v>4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5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2016.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-0.9</v>
      </c>
      <c r="C6" s="8" t="n">
        <v>7.3</v>
      </c>
      <c r="D6" s="8" t="n">
        <v>7.6</v>
      </c>
      <c r="E6" s="8" t="n">
        <v>14.1</v>
      </c>
      <c r="F6" s="8" t="n">
        <v>15.6</v>
      </c>
      <c r="G6" s="8" t="n">
        <v>21.5</v>
      </c>
      <c r="H6" s="8" t="n">
        <v>23.4</v>
      </c>
      <c r="I6" s="8" t="n">
        <v>21.7</v>
      </c>
      <c r="J6" s="8" t="n">
        <v>18.8</v>
      </c>
      <c r="K6" s="8" t="n">
        <v>10.8</v>
      </c>
      <c r="L6" s="8" t="n">
        <v>6.1</v>
      </c>
      <c r="M6" s="8" t="n">
        <v>0.2</v>
      </c>
      <c r="N6" s="9">
        <f>AVERAGE(B6:M6)</f>
        <v/>
      </c>
    </row>
    <row r="7">
      <c r="A7" s="7" t="inlineStr">
        <is>
          <t>Srednja maksimalna</t>
        </is>
      </c>
      <c r="B7" s="8" t="n">
        <v>4.2</v>
      </c>
      <c r="C7" s="8" t="n">
        <v>13.2</v>
      </c>
      <c r="D7" s="8" t="n">
        <v>12.7</v>
      </c>
      <c r="E7" s="8" t="n">
        <v>20.4</v>
      </c>
      <c r="F7" s="8" t="n">
        <v>20.7</v>
      </c>
      <c r="G7" s="8" t="n">
        <v>26.6</v>
      </c>
      <c r="H7" s="8" t="n">
        <v>28.3</v>
      </c>
      <c r="I7" s="8" t="n">
        <v>26.5</v>
      </c>
      <c r="J7" s="8" t="n">
        <v>23.7</v>
      </c>
      <c r="K7" s="8" t="n">
        <v>14.5</v>
      </c>
      <c r="L7" s="8" t="n">
        <v>10.7</v>
      </c>
      <c r="M7" s="8" t="n">
        <v>3.9</v>
      </c>
      <c r="N7" s="9">
        <f>AVERAGE(B7:M7)</f>
        <v/>
      </c>
    </row>
    <row r="8">
      <c r="A8" s="7" t="inlineStr">
        <is>
          <t>Srednja minimalna</t>
        </is>
      </c>
      <c r="B8" s="8" t="n">
        <v>-5.6</v>
      </c>
      <c r="C8" s="8" t="n">
        <v>2.4</v>
      </c>
      <c r="D8" s="8" t="n">
        <v>2.7</v>
      </c>
      <c r="E8" s="8" t="n">
        <v>7.8</v>
      </c>
      <c r="F8" s="8" t="n">
        <v>10</v>
      </c>
      <c r="G8" s="8" t="n">
        <v>16</v>
      </c>
      <c r="H8" s="8" t="n">
        <v>17.8</v>
      </c>
      <c r="I8" s="8" t="n">
        <v>16.8</v>
      </c>
      <c r="J8" s="8" t="n">
        <v>13.6</v>
      </c>
      <c r="K8" s="8" t="n">
        <v>7.4</v>
      </c>
      <c r="L8" s="8" t="n">
        <v>2.6</v>
      </c>
      <c r="M8" s="8" t="n">
        <v>-2.5</v>
      </c>
      <c r="N8" s="9">
        <f>AVERAGE(B8:M8)</f>
        <v/>
      </c>
    </row>
    <row r="9">
      <c r="A9" s="7" t="inlineStr">
        <is>
          <t>Apsolutni maksimum</t>
        </is>
      </c>
      <c r="B9" s="8" t="n">
        <v>13.8</v>
      </c>
      <c r="C9" s="8" t="n">
        <v>21</v>
      </c>
      <c r="D9" s="8" t="n">
        <v>23.4</v>
      </c>
      <c r="E9" s="8" t="n">
        <v>30.8</v>
      </c>
      <c r="F9" s="8" t="n">
        <v>30</v>
      </c>
      <c r="G9" s="8" t="n">
        <v>34.5</v>
      </c>
      <c r="H9" s="8" t="n">
        <v>35.3</v>
      </c>
      <c r="I9" s="8" t="n">
        <v>32.6</v>
      </c>
      <c r="J9" s="8" t="n">
        <v>29.4</v>
      </c>
      <c r="K9" s="8" t="n">
        <v>25.5</v>
      </c>
      <c r="L9" s="8" t="n">
        <v>18.9</v>
      </c>
      <c r="M9" s="8" t="n">
        <v>10.6</v>
      </c>
      <c r="N9" s="9">
        <f>MAX(B9:M9)</f>
        <v/>
      </c>
    </row>
    <row r="10">
      <c r="A10" s="7" t="inlineStr">
        <is>
          <t>Apsolutni minimum</t>
        </is>
      </c>
      <c r="B10" s="8" t="n">
        <v>-20.1</v>
      </c>
      <c r="C10" s="8" t="n">
        <v>-2.6</v>
      </c>
      <c r="D10" s="8" t="n">
        <v>-1.1</v>
      </c>
      <c r="E10" s="8" t="n">
        <v>1.2</v>
      </c>
      <c r="F10" s="8" t="n">
        <v>6.3</v>
      </c>
      <c r="G10" s="8" t="n">
        <v>11.7</v>
      </c>
      <c r="H10" s="8" t="n">
        <v>13.9</v>
      </c>
      <c r="I10" s="8" t="n">
        <v>11.3</v>
      </c>
      <c r="J10" s="8" t="n">
        <v>6.8</v>
      </c>
      <c r="K10" s="8" t="n">
        <v>0.5</v>
      </c>
      <c r="L10" s="8" t="n">
        <v>-2.6</v>
      </c>
      <c r="M10" s="8" t="n">
        <v>-5.3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7</v>
      </c>
      <c r="D11" s="10" t="n">
        <v>5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28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1</v>
      </c>
      <c r="F12" s="10" t="n">
        <v>1</v>
      </c>
      <c r="G12" s="10" t="n">
        <v>8</v>
      </c>
      <c r="H12" s="10" t="n">
        <v>12</v>
      </c>
      <c r="I12" s="10" t="n">
        <v>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83.90000000000001</v>
      </c>
      <c r="C14" s="8" t="n">
        <v>81.2</v>
      </c>
      <c r="D14" s="8" t="n">
        <v>76.59999999999999</v>
      </c>
      <c r="E14" s="8" t="n">
        <v>70.3</v>
      </c>
      <c r="F14" s="8" t="n">
        <v>76.5</v>
      </c>
      <c r="G14" s="8" t="n">
        <v>74.09999999999999</v>
      </c>
      <c r="H14" s="8" t="n">
        <v>65.8</v>
      </c>
      <c r="I14" s="8" t="n">
        <v>69.40000000000001</v>
      </c>
      <c r="J14" s="8" t="n">
        <v>68.90000000000001</v>
      </c>
      <c r="K14" s="8" t="n">
        <v>81.09999999999999</v>
      </c>
      <c r="L14" s="8" t="n">
        <v>82</v>
      </c>
      <c r="M14" s="8" t="n">
        <v>77.7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169.1</v>
      </c>
      <c r="C16" s="8" t="n">
        <v>205.2</v>
      </c>
      <c r="D16" s="8" t="n">
        <v>249.5</v>
      </c>
      <c r="E16" s="8" t="n">
        <v>299.4</v>
      </c>
      <c r="F16" s="8" t="n">
        <v>319.3</v>
      </c>
      <c r="G16" s="8" t="n">
        <v>382.8</v>
      </c>
      <c r="H16" s="8" t="n">
        <v>405.6</v>
      </c>
      <c r="I16" s="8" t="n">
        <v>320.6</v>
      </c>
      <c r="J16" s="8" t="n">
        <v>310.6</v>
      </c>
      <c r="K16" s="8" t="n">
        <v>195.5</v>
      </c>
      <c r="L16" s="8" t="n">
        <v>187.7</v>
      </c>
      <c r="M16" s="8" t="n">
        <v>209.2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0</v>
      </c>
      <c r="D17" s="10" t="n">
        <v>3</v>
      </c>
      <c r="E17" s="10" t="n">
        <v>6</v>
      </c>
      <c r="F17" s="10" t="n">
        <v>3</v>
      </c>
      <c r="G17" s="10" t="n">
        <v>2</v>
      </c>
      <c r="H17" s="10" t="n">
        <v>11</v>
      </c>
      <c r="I17" s="10" t="n">
        <v>10</v>
      </c>
      <c r="J17" s="10" t="n">
        <v>8</v>
      </c>
      <c r="K17" s="10" t="n">
        <v>0</v>
      </c>
      <c r="L17" s="10" t="n">
        <v>3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12</v>
      </c>
      <c r="D18" s="10" t="n">
        <v>13</v>
      </c>
      <c r="E18" s="10" t="n">
        <v>8</v>
      </c>
      <c r="F18" s="10" t="n">
        <v>9</v>
      </c>
      <c r="G18" s="10" t="n">
        <v>6</v>
      </c>
      <c r="H18" s="10" t="n">
        <v>2</v>
      </c>
      <c r="I18" s="10" t="n">
        <v>7</v>
      </c>
      <c r="J18" s="10" t="n">
        <v>4</v>
      </c>
      <c r="K18" s="10" t="n">
        <v>16</v>
      </c>
      <c r="L18" s="10" t="n">
        <v>12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107.3</v>
      </c>
      <c r="C20" s="8" t="n">
        <v>48.6</v>
      </c>
      <c r="D20" s="8" t="n">
        <v>99.5</v>
      </c>
      <c r="E20" s="8" t="n">
        <v>73.5</v>
      </c>
      <c r="F20" s="8" t="n">
        <v>163</v>
      </c>
      <c r="G20" s="8" t="n">
        <v>74.59999999999999</v>
      </c>
      <c r="H20" s="8" t="n">
        <v>72.5</v>
      </c>
      <c r="I20" s="8" t="n">
        <v>42.2</v>
      </c>
      <c r="J20" s="8" t="n">
        <v>57.5</v>
      </c>
      <c r="K20" s="8" t="n">
        <v>96.90000000000001</v>
      </c>
      <c r="L20" s="8" t="n">
        <v>93.90000000000001</v>
      </c>
      <c r="M20" s="8" t="n">
        <v>17.3</v>
      </c>
      <c r="N20" s="9">
        <f>SUM(B20:M20)</f>
        <v/>
      </c>
    </row>
    <row r="21">
      <c r="A21" s="7" t="inlineStr">
        <is>
          <t>Max. dnevna suma</t>
        </is>
      </c>
      <c r="B21" s="8" t="n">
        <v>22.2</v>
      </c>
      <c r="C21" s="8" t="n">
        <v>12.4</v>
      </c>
      <c r="D21" s="8" t="n">
        <v>24.5</v>
      </c>
      <c r="E21" s="8" t="n">
        <v>19.6</v>
      </c>
      <c r="F21" s="8" t="n">
        <v>31</v>
      </c>
      <c r="G21" s="8" t="n">
        <v>17.2</v>
      </c>
      <c r="H21" s="8" t="n">
        <v>24.3</v>
      </c>
      <c r="I21" s="8" t="n">
        <v>9.699999999999999</v>
      </c>
      <c r="J21" s="8" t="n">
        <v>20.4</v>
      </c>
      <c r="K21" s="8" t="n">
        <v>17.4</v>
      </c>
      <c r="L21" s="8" t="n">
        <v>44.6</v>
      </c>
      <c r="M21" s="8" t="n">
        <v>7.9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16</v>
      </c>
      <c r="D22" s="10" t="n">
        <v>19</v>
      </c>
      <c r="E22" s="10" t="n">
        <v>15</v>
      </c>
      <c r="F22" s="10" t="n">
        <v>23</v>
      </c>
      <c r="G22" s="10" t="n">
        <v>19</v>
      </c>
      <c r="H22" s="10" t="n">
        <v>20</v>
      </c>
      <c r="I22" s="10" t="n">
        <v>17</v>
      </c>
      <c r="J22" s="10" t="n">
        <v>12</v>
      </c>
      <c r="K22" s="10" t="n">
        <v>18</v>
      </c>
      <c r="L22" s="10" t="n">
        <v>12</v>
      </c>
      <c r="M22" s="10" t="n">
        <v>11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1</v>
      </c>
      <c r="D23" s="10" t="n">
        <v>3</v>
      </c>
      <c r="E23" s="10" t="n">
        <v>3</v>
      </c>
      <c r="F23" s="10" t="n">
        <v>5</v>
      </c>
      <c r="G23" s="10" t="n">
        <v>2</v>
      </c>
      <c r="H23" s="10" t="n">
        <v>3</v>
      </c>
      <c r="I23" s="10" t="n">
        <v>0</v>
      </c>
      <c r="J23" s="10" t="n">
        <v>3</v>
      </c>
      <c r="K23" s="10" t="n">
        <v>4</v>
      </c>
      <c r="L23" s="10" t="n">
        <v>3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14</v>
      </c>
      <c r="C25" s="10" t="n">
        <v>7</v>
      </c>
      <c r="D25" s="10" t="n">
        <v>6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9</v>
      </c>
      <c r="N25" s="11">
        <f>SUM(B25:M25)</f>
        <v/>
      </c>
    </row>
    <row r="26">
      <c r="A26" s="7" t="inlineStr">
        <is>
          <t>snežnim pokrivačem</t>
        </is>
      </c>
      <c r="B26" s="10" t="n">
        <v>14</v>
      </c>
      <c r="C26" s="10" t="n">
        <v>7</v>
      </c>
      <c r="D26" s="10" t="n">
        <v>6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9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2017.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-4.9</v>
      </c>
      <c r="C6" s="8" t="n">
        <v>3.8</v>
      </c>
      <c r="D6" s="8" t="n">
        <v>9.800000000000001</v>
      </c>
      <c r="E6" s="8" t="n">
        <v>11.4</v>
      </c>
      <c r="F6" s="8" t="n">
        <v>16.5</v>
      </c>
      <c r="G6" s="8" t="n">
        <v>22.3</v>
      </c>
      <c r="H6" s="8" t="n">
        <v>24</v>
      </c>
      <c r="I6" s="8" t="n">
        <v>23.9</v>
      </c>
      <c r="J6" s="8" t="n">
        <v>18.2</v>
      </c>
      <c r="K6" s="8" t="n">
        <v>12.4</v>
      </c>
      <c r="L6" s="8" t="n">
        <v>7.1</v>
      </c>
      <c r="M6" s="8" t="n">
        <v>3.9</v>
      </c>
      <c r="N6" s="9">
        <f>AVERAGE(B6:M6)</f>
        <v/>
      </c>
    </row>
    <row r="7">
      <c r="A7" s="7" t="inlineStr">
        <is>
          <t>Srednja maksimalna</t>
        </is>
      </c>
      <c r="B7" s="8" t="n">
        <v>-0.4</v>
      </c>
      <c r="C7" s="8" t="n">
        <v>9.800000000000001</v>
      </c>
      <c r="D7" s="8" t="n">
        <v>16</v>
      </c>
      <c r="E7" s="8" t="n">
        <v>17.3</v>
      </c>
      <c r="F7" s="8" t="n">
        <v>22.1</v>
      </c>
      <c r="G7" s="8" t="n">
        <v>28.3</v>
      </c>
      <c r="H7" s="8" t="n">
        <v>30.4</v>
      </c>
      <c r="I7" s="8" t="n">
        <v>30.7</v>
      </c>
      <c r="J7" s="8" t="n">
        <v>24.2</v>
      </c>
      <c r="K7" s="8" t="n">
        <v>18.5</v>
      </c>
      <c r="L7" s="8" t="n">
        <v>11.6</v>
      </c>
      <c r="M7" s="8" t="n">
        <v>8</v>
      </c>
      <c r="N7" s="9">
        <f>AVERAGE(B7:M7)</f>
        <v/>
      </c>
    </row>
    <row r="8">
      <c r="A8" s="7" t="inlineStr">
        <is>
          <t>Srednja minimalna</t>
        </is>
      </c>
      <c r="B8" s="8" t="n">
        <v>-9.199999999999999</v>
      </c>
      <c r="C8" s="8" t="n">
        <v>-0.7</v>
      </c>
      <c r="D8" s="8" t="n">
        <v>4.5</v>
      </c>
      <c r="E8" s="8" t="n">
        <v>5.6</v>
      </c>
      <c r="F8" s="8" t="n">
        <v>11.3</v>
      </c>
      <c r="G8" s="8" t="n">
        <v>16</v>
      </c>
      <c r="H8" s="8" t="n">
        <v>17.5</v>
      </c>
      <c r="I8" s="8" t="n">
        <v>17.5</v>
      </c>
      <c r="J8" s="8" t="n">
        <v>13</v>
      </c>
      <c r="K8" s="8" t="n">
        <v>7.7</v>
      </c>
      <c r="L8" s="8" t="n">
        <v>3.6</v>
      </c>
      <c r="M8" s="8" t="n">
        <v>0</v>
      </c>
      <c r="N8" s="9">
        <f>AVERAGE(B8:M8)</f>
        <v/>
      </c>
    </row>
    <row r="9">
      <c r="A9" s="7" t="inlineStr">
        <is>
          <t>Apsolutni maksimum</t>
        </is>
      </c>
      <c r="B9" s="8" t="n">
        <v>6.4</v>
      </c>
      <c r="C9" s="8" t="n">
        <v>20.5</v>
      </c>
      <c r="D9" s="8" t="n">
        <v>24.5</v>
      </c>
      <c r="E9" s="8" t="n">
        <v>26.9</v>
      </c>
      <c r="F9" s="8" t="n">
        <v>28.8</v>
      </c>
      <c r="G9" s="8" t="n">
        <v>36.7</v>
      </c>
      <c r="H9" s="8" t="n">
        <v>37.3</v>
      </c>
      <c r="I9" s="8" t="n">
        <v>37.9</v>
      </c>
      <c r="J9" s="8" t="n">
        <v>34.6</v>
      </c>
      <c r="K9" s="8" t="n">
        <v>25.8</v>
      </c>
      <c r="L9" s="8" t="n">
        <v>20.4</v>
      </c>
      <c r="M9" s="8" t="n">
        <v>17.3</v>
      </c>
      <c r="N9" s="9">
        <f>MAX(B9:M9)</f>
        <v/>
      </c>
    </row>
    <row r="10">
      <c r="A10" s="7" t="inlineStr">
        <is>
          <t>Apsolutni minimum</t>
        </is>
      </c>
      <c r="B10" s="8" t="n">
        <v>-20.2</v>
      </c>
      <c r="C10" s="8" t="n">
        <v>-6.3</v>
      </c>
      <c r="D10" s="8" t="n">
        <v>-0.1</v>
      </c>
      <c r="E10" s="8" t="n">
        <v>-2.2</v>
      </c>
      <c r="F10" s="8" t="n">
        <v>6.8</v>
      </c>
      <c r="G10" s="8" t="n">
        <v>10.9</v>
      </c>
      <c r="H10" s="8" t="n">
        <v>11.8</v>
      </c>
      <c r="I10" s="8" t="n">
        <v>10.4</v>
      </c>
      <c r="J10" s="8" t="n">
        <v>7.5</v>
      </c>
      <c r="K10" s="8" t="n">
        <v>2.4</v>
      </c>
      <c r="L10" s="8" t="n">
        <v>-4.3</v>
      </c>
      <c r="M10" s="8" t="n">
        <v>-5.5</v>
      </c>
      <c r="N10" s="9">
        <f>MIN(B10:M10)</f>
        <v/>
      </c>
    </row>
    <row r="11">
      <c r="A11" s="7" t="inlineStr">
        <is>
          <t>Sr. br. mraznih dana</t>
        </is>
      </c>
      <c r="B11" s="10" t="n">
        <v>31</v>
      </c>
      <c r="C11" s="10" t="n">
        <v>16</v>
      </c>
      <c r="D11" s="10" t="n">
        <v>1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9</v>
      </c>
      <c r="H12" s="10" t="n">
        <v>17</v>
      </c>
      <c r="I12" s="10" t="n">
        <v>18</v>
      </c>
      <c r="J12" s="10" t="n">
        <v>7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75</v>
      </c>
      <c r="C14" s="8" t="n">
        <v>74.7</v>
      </c>
      <c r="D14" s="8" t="n">
        <v>68.90000000000001</v>
      </c>
      <c r="E14" s="8" t="n">
        <v>64</v>
      </c>
      <c r="F14" s="8" t="n">
        <v>72.90000000000001</v>
      </c>
      <c r="G14" s="8" t="n">
        <v>65.8</v>
      </c>
      <c r="H14" s="8" t="n">
        <v>55</v>
      </c>
      <c r="I14" s="8" t="n">
        <v>56.3</v>
      </c>
      <c r="J14" s="8" t="n">
        <v>63.1</v>
      </c>
      <c r="K14" s="8" t="n">
        <v>73</v>
      </c>
      <c r="L14" s="8" t="n">
        <v>80.2</v>
      </c>
      <c r="M14" s="8" t="n">
        <v>77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180</v>
      </c>
      <c r="C16" s="8" t="n">
        <v>217.5</v>
      </c>
      <c r="D16" s="8" t="n">
        <v>262.6</v>
      </c>
      <c r="E16" s="8" t="n">
        <v>315</v>
      </c>
      <c r="F16" s="8" t="n">
        <v>358.7</v>
      </c>
      <c r="G16" s="8" t="n">
        <v>404.6</v>
      </c>
      <c r="H16" s="8" t="n">
        <v>416.6</v>
      </c>
      <c r="I16" s="8" t="n">
        <v>374.2</v>
      </c>
      <c r="J16" s="8" t="n">
        <v>280.5</v>
      </c>
      <c r="K16" s="8" t="n">
        <v>257.2</v>
      </c>
      <c r="L16" s="8" t="n">
        <v>161.4</v>
      </c>
      <c r="M16" s="8" t="n">
        <v>149.6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5</v>
      </c>
      <c r="D17" s="10" t="n">
        <v>8</v>
      </c>
      <c r="E17" s="10" t="n">
        <v>5</v>
      </c>
      <c r="F17" s="10" t="n">
        <v>6</v>
      </c>
      <c r="G17" s="10" t="n">
        <v>7</v>
      </c>
      <c r="H17" s="10" t="n">
        <v>13</v>
      </c>
      <c r="I17" s="10" t="n">
        <v>19</v>
      </c>
      <c r="J17" s="10" t="n">
        <v>5</v>
      </c>
      <c r="K17" s="10" t="n">
        <v>5</v>
      </c>
      <c r="L17" s="10" t="n">
        <v>2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12</v>
      </c>
      <c r="C18" s="10" t="n">
        <v>9</v>
      </c>
      <c r="D18" s="10" t="n">
        <v>9</v>
      </c>
      <c r="E18" s="10" t="n">
        <v>7</v>
      </c>
      <c r="F18" s="10" t="n">
        <v>8</v>
      </c>
      <c r="G18" s="10" t="n">
        <v>2</v>
      </c>
      <c r="H18" s="10" t="n">
        <v>2</v>
      </c>
      <c r="I18" s="10" t="n">
        <v>2</v>
      </c>
      <c r="J18" s="10" t="n">
        <v>6</v>
      </c>
      <c r="K18" s="10" t="n">
        <v>6</v>
      </c>
      <c r="L18" s="10" t="n">
        <v>14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34.2</v>
      </c>
      <c r="C20" s="8" t="n">
        <v>29</v>
      </c>
      <c r="D20" s="8" t="n">
        <v>33.3</v>
      </c>
      <c r="E20" s="8" t="n">
        <v>68</v>
      </c>
      <c r="F20" s="8" t="n">
        <v>89</v>
      </c>
      <c r="G20" s="8" t="n">
        <v>63.2</v>
      </c>
      <c r="H20" s="8" t="n">
        <v>35.6</v>
      </c>
      <c r="I20" s="8" t="n">
        <v>40.2</v>
      </c>
      <c r="J20" s="8" t="n">
        <v>26.9</v>
      </c>
      <c r="K20" s="8" t="n">
        <v>86.09999999999999</v>
      </c>
      <c r="L20" s="8" t="n">
        <v>51.2</v>
      </c>
      <c r="M20" s="8" t="n">
        <v>56.2</v>
      </c>
      <c r="N20" s="9">
        <f>SUM(B20:M20)</f>
        <v/>
      </c>
    </row>
    <row r="21">
      <c r="A21" s="7" t="inlineStr">
        <is>
          <t>Max. dnevna suma</t>
        </is>
      </c>
      <c r="B21" s="8" t="n">
        <v>10.3</v>
      </c>
      <c r="C21" s="8" t="n">
        <v>9.4</v>
      </c>
      <c r="D21" s="8" t="n">
        <v>6.9</v>
      </c>
      <c r="E21" s="8" t="n">
        <v>20.7</v>
      </c>
      <c r="F21" s="8" t="n">
        <v>9.4</v>
      </c>
      <c r="G21" s="8" t="n">
        <v>14.7</v>
      </c>
      <c r="H21" s="8" t="n">
        <v>16.6</v>
      </c>
      <c r="I21" s="8" t="n">
        <v>15.9</v>
      </c>
      <c r="J21" s="8" t="n">
        <v>9</v>
      </c>
      <c r="K21" s="8" t="n">
        <v>34.6</v>
      </c>
      <c r="L21" s="8" t="n">
        <v>17.6</v>
      </c>
      <c r="M21" s="8" t="n">
        <v>13.9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8</v>
      </c>
      <c r="D22" s="10" t="n">
        <v>17</v>
      </c>
      <c r="E22" s="10" t="n">
        <v>18</v>
      </c>
      <c r="F22" s="10" t="n">
        <v>25</v>
      </c>
      <c r="G22" s="10" t="n">
        <v>17</v>
      </c>
      <c r="H22" s="10" t="n">
        <v>10</v>
      </c>
      <c r="I22" s="10" t="n">
        <v>7</v>
      </c>
      <c r="J22" s="10" t="n">
        <v>12</v>
      </c>
      <c r="K22" s="10" t="n">
        <v>13</v>
      </c>
      <c r="L22" s="10" t="n">
        <v>15</v>
      </c>
      <c r="M22" s="10" t="n">
        <v>18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0</v>
      </c>
      <c r="D23" s="10" t="n">
        <v>0</v>
      </c>
      <c r="E23" s="10" t="n">
        <v>1</v>
      </c>
      <c r="F23" s="10" t="n">
        <v>0</v>
      </c>
      <c r="G23" s="10" t="n">
        <v>2</v>
      </c>
      <c r="H23" s="10" t="n">
        <v>2</v>
      </c>
      <c r="I23" s="10" t="n">
        <v>1</v>
      </c>
      <c r="J23" s="10" t="n">
        <v>0</v>
      </c>
      <c r="K23" s="10" t="n">
        <v>2</v>
      </c>
      <c r="L23" s="10" t="n">
        <v>1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13</v>
      </c>
      <c r="C25" s="10" t="n">
        <v>2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9</v>
      </c>
      <c r="N25" s="11">
        <f>SUM(B25:M25)</f>
        <v/>
      </c>
    </row>
    <row r="26">
      <c r="A26" s="7" t="inlineStr">
        <is>
          <t>snežnim pokrivačem</t>
        </is>
      </c>
      <c r="B26" s="10" t="n">
        <v>13</v>
      </c>
      <c r="C26" s="10" t="n">
        <v>2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9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2018.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2.4</v>
      </c>
      <c r="C6" s="8" t="n">
        <v>2.1</v>
      </c>
      <c r="D6" s="8" t="n">
        <v>5.9</v>
      </c>
      <c r="E6" s="8" t="n">
        <v>16.1</v>
      </c>
      <c r="F6" s="8" t="n">
        <v>18.9</v>
      </c>
      <c r="G6" s="8" t="n">
        <v>20.5</v>
      </c>
      <c r="H6" s="8" t="n">
        <v>21.3</v>
      </c>
      <c r="I6" s="8" t="n">
        <v>22.8</v>
      </c>
      <c r="J6" s="8" t="n">
        <v>17.8</v>
      </c>
      <c r="K6" s="8" t="n">
        <v>13.9</v>
      </c>
      <c r="L6" s="8" t="n">
        <v>7.4</v>
      </c>
      <c r="M6" s="8" t="n">
        <v>1.2</v>
      </c>
      <c r="N6" s="9">
        <f>AVERAGE(B6:M6)</f>
        <v/>
      </c>
    </row>
    <row r="7">
      <c r="A7" s="7" t="inlineStr">
        <is>
          <t>Srednja maksimalna</t>
        </is>
      </c>
      <c r="B7" s="8" t="n">
        <v>7.9</v>
      </c>
      <c r="C7" s="8" t="n">
        <v>6.5</v>
      </c>
      <c r="D7" s="8" t="n">
        <v>11.7</v>
      </c>
      <c r="E7" s="8" t="n">
        <v>22.9</v>
      </c>
      <c r="F7" s="8" t="n">
        <v>25</v>
      </c>
      <c r="G7" s="8" t="n">
        <v>25.5</v>
      </c>
      <c r="H7" s="8" t="n">
        <v>26</v>
      </c>
      <c r="I7" s="8" t="n">
        <v>28.7</v>
      </c>
      <c r="J7" s="8" t="n">
        <v>24.1</v>
      </c>
      <c r="K7" s="8" t="n">
        <v>20.6</v>
      </c>
      <c r="L7" s="8" t="n">
        <v>12.5</v>
      </c>
      <c r="M7" s="8" t="n">
        <v>5.2</v>
      </c>
      <c r="N7" s="9">
        <f>AVERAGE(B7:M7)</f>
        <v/>
      </c>
    </row>
    <row r="8">
      <c r="A8" s="7" t="inlineStr">
        <is>
          <t>Srednja minimalna</t>
        </is>
      </c>
      <c r="B8" s="8" t="n">
        <v>-1.9</v>
      </c>
      <c r="C8" s="8" t="n">
        <v>-1.4</v>
      </c>
      <c r="D8" s="8" t="n">
        <v>0.9</v>
      </c>
      <c r="E8" s="8" t="n">
        <v>10.1</v>
      </c>
      <c r="F8" s="8" t="n">
        <v>13.1</v>
      </c>
      <c r="G8" s="8" t="n">
        <v>16.1</v>
      </c>
      <c r="H8" s="8" t="n">
        <v>17.2</v>
      </c>
      <c r="I8" s="8" t="n">
        <v>17.7</v>
      </c>
      <c r="J8" s="8" t="n">
        <v>12.7</v>
      </c>
      <c r="K8" s="8" t="n">
        <v>8.9</v>
      </c>
      <c r="L8" s="8" t="n">
        <v>3.6</v>
      </c>
      <c r="M8" s="8" t="n">
        <v>-2.3</v>
      </c>
      <c r="N8" s="9">
        <f>AVERAGE(B8:M8)</f>
        <v/>
      </c>
    </row>
    <row r="9">
      <c r="A9" s="7" t="inlineStr">
        <is>
          <t>Apsolutni maksimum</t>
        </is>
      </c>
      <c r="B9" s="8" t="n">
        <v>13.5</v>
      </c>
      <c r="C9" s="8" t="n">
        <v>17.1</v>
      </c>
      <c r="D9" s="8" t="n">
        <v>24.9</v>
      </c>
      <c r="E9" s="8" t="n">
        <v>28.5</v>
      </c>
      <c r="F9" s="8" t="n">
        <v>29.4</v>
      </c>
      <c r="G9" s="8" t="n">
        <v>32.7</v>
      </c>
      <c r="H9" s="8" t="n">
        <v>31.2</v>
      </c>
      <c r="I9" s="8" t="n">
        <v>31.9</v>
      </c>
      <c r="J9" s="8" t="n">
        <v>31.4</v>
      </c>
      <c r="K9" s="8" t="n">
        <v>25</v>
      </c>
      <c r="L9" s="8" t="n">
        <v>24.2</v>
      </c>
      <c r="M9" s="8" t="n">
        <v>10.4</v>
      </c>
      <c r="N9" s="9">
        <f>MAX(B9:M9)</f>
        <v/>
      </c>
    </row>
    <row r="10">
      <c r="A10" s="7" t="inlineStr">
        <is>
          <t>Apsolutni minimum</t>
        </is>
      </c>
      <c r="B10" s="8" t="n">
        <v>-7.1</v>
      </c>
      <c r="C10" s="8" t="n">
        <v>-14.9</v>
      </c>
      <c r="D10" s="8" t="n">
        <v>-16.4</v>
      </c>
      <c r="E10" s="8" t="n">
        <v>4.2</v>
      </c>
      <c r="F10" s="8" t="n">
        <v>8.300000000000001</v>
      </c>
      <c r="G10" s="8" t="n">
        <v>8.5</v>
      </c>
      <c r="H10" s="8" t="n">
        <v>13.2</v>
      </c>
      <c r="I10" s="8" t="n">
        <v>15.1</v>
      </c>
      <c r="J10" s="8" t="n">
        <v>2.4</v>
      </c>
      <c r="K10" s="8" t="n">
        <v>4.3</v>
      </c>
      <c r="L10" s="8" t="n">
        <v>-8.5</v>
      </c>
      <c r="M10" s="8" t="n">
        <v>-9.300000000000001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15</v>
      </c>
      <c r="D11" s="10" t="n">
        <v>15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24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3</v>
      </c>
      <c r="H12" s="10" t="n">
        <v>2</v>
      </c>
      <c r="I12" s="10" t="n">
        <v>10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77.40000000000001</v>
      </c>
      <c r="C14" s="8" t="n">
        <v>77.90000000000001</v>
      </c>
      <c r="D14" s="8" t="n">
        <v>75.2</v>
      </c>
      <c r="E14" s="8" t="n">
        <v>66.90000000000001</v>
      </c>
      <c r="F14" s="8" t="n">
        <v>70.7</v>
      </c>
      <c r="G14" s="8" t="n">
        <v>76.40000000000001</v>
      </c>
      <c r="H14" s="8" t="n">
        <v>79.7</v>
      </c>
      <c r="I14" s="8" t="n">
        <v>74.09999999999999</v>
      </c>
      <c r="J14" s="8" t="n">
        <v>70.40000000000001</v>
      </c>
      <c r="K14" s="8" t="n">
        <v>69.5</v>
      </c>
      <c r="L14" s="8" t="n">
        <v>79.2</v>
      </c>
      <c r="M14" s="8" t="n">
        <v>83.7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186.8</v>
      </c>
      <c r="C16" s="8" t="n">
        <v>151.9</v>
      </c>
      <c r="D16" s="8" t="n">
        <v>198.1</v>
      </c>
      <c r="E16" s="8" t="n">
        <v>317.7</v>
      </c>
      <c r="F16" s="8" t="n">
        <v>391</v>
      </c>
      <c r="G16" s="8" t="n">
        <v>296.8</v>
      </c>
      <c r="H16" s="8" t="n">
        <v>336.8</v>
      </c>
      <c r="I16" s="8" t="n">
        <v>360.6</v>
      </c>
      <c r="J16" s="8" t="n">
        <v>329.7</v>
      </c>
      <c r="K16" s="8" t="n">
        <v>271.3</v>
      </c>
      <c r="L16" s="8" t="n">
        <v>181.1</v>
      </c>
      <c r="M16" s="8" t="n">
        <v>134.3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0</v>
      </c>
      <c r="D17" s="10" t="n">
        <v>2</v>
      </c>
      <c r="E17" s="10" t="n">
        <v>7</v>
      </c>
      <c r="F17" s="10" t="n">
        <v>5</v>
      </c>
      <c r="G17" s="10" t="n">
        <v>0</v>
      </c>
      <c r="H17" s="10" t="n">
        <v>3</v>
      </c>
      <c r="I17" s="10" t="n">
        <v>13</v>
      </c>
      <c r="J17" s="10" t="n">
        <v>7</v>
      </c>
      <c r="K17" s="10" t="n">
        <v>10</v>
      </c>
      <c r="L17" s="10" t="n">
        <v>4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17</v>
      </c>
      <c r="D18" s="10" t="n">
        <v>20</v>
      </c>
      <c r="E18" s="10" t="n">
        <v>6</v>
      </c>
      <c r="F18" s="10" t="n">
        <v>1</v>
      </c>
      <c r="G18" s="10" t="n">
        <v>10</v>
      </c>
      <c r="H18" s="10" t="n">
        <v>12</v>
      </c>
      <c r="I18" s="10" t="n">
        <v>4</v>
      </c>
      <c r="J18" s="10" t="n">
        <v>1</v>
      </c>
      <c r="K18" s="10" t="n">
        <v>4</v>
      </c>
      <c r="L18" s="10" t="n">
        <v>12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46.2</v>
      </c>
      <c r="C20" s="8" t="n">
        <v>69.8</v>
      </c>
      <c r="D20" s="8" t="n">
        <v>109.1</v>
      </c>
      <c r="E20" s="8" t="n">
        <v>37.5</v>
      </c>
      <c r="F20" s="8" t="n">
        <v>88.5</v>
      </c>
      <c r="G20" s="8" t="n">
        <v>257.8</v>
      </c>
      <c r="H20" s="8" t="n">
        <v>206.9</v>
      </c>
      <c r="I20" s="8" t="n">
        <v>58</v>
      </c>
      <c r="J20" s="8" t="n">
        <v>36.6</v>
      </c>
      <c r="K20" s="8" t="n">
        <v>13.8</v>
      </c>
      <c r="L20" s="8" t="n">
        <v>77.3</v>
      </c>
      <c r="M20" s="8" t="n">
        <v>68.8</v>
      </c>
      <c r="N20" s="9">
        <f>SUM(B20:M20)</f>
        <v/>
      </c>
    </row>
    <row r="21">
      <c r="A21" s="7" t="inlineStr">
        <is>
          <t>Max. dnevna suma</t>
        </is>
      </c>
      <c r="B21" s="8" t="n">
        <v>10.2</v>
      </c>
      <c r="C21" s="8" t="n">
        <v>11.2</v>
      </c>
      <c r="D21" s="8" t="n">
        <v>20.3</v>
      </c>
      <c r="E21" s="8" t="n">
        <v>12.8</v>
      </c>
      <c r="F21" s="8" t="n">
        <v>18.9</v>
      </c>
      <c r="G21" s="8" t="n">
        <v>60.3</v>
      </c>
      <c r="H21" s="8" t="n">
        <v>21.2</v>
      </c>
      <c r="I21" s="8" t="n">
        <v>13.8</v>
      </c>
      <c r="J21" s="8" t="n">
        <v>11.7</v>
      </c>
      <c r="K21" s="8" t="n">
        <v>3.9</v>
      </c>
      <c r="L21" s="8" t="n">
        <v>26.6</v>
      </c>
      <c r="M21" s="8" t="n">
        <v>9.4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14</v>
      </c>
      <c r="C22" s="10" t="n">
        <v>21</v>
      </c>
      <c r="D22" s="10" t="n">
        <v>25</v>
      </c>
      <c r="E22" s="10" t="n">
        <v>13</v>
      </c>
      <c r="F22" s="10" t="n">
        <v>22</v>
      </c>
      <c r="G22" s="10" t="n">
        <v>25</v>
      </c>
      <c r="H22" s="10" t="n">
        <v>27</v>
      </c>
      <c r="I22" s="10" t="n">
        <v>14</v>
      </c>
      <c r="J22" s="10" t="n">
        <v>11</v>
      </c>
      <c r="K22" s="10" t="n">
        <v>9</v>
      </c>
      <c r="L22" s="10" t="n">
        <v>14</v>
      </c>
      <c r="M22" s="10" t="n">
        <v>22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1</v>
      </c>
      <c r="D23" s="10" t="n">
        <v>1</v>
      </c>
      <c r="E23" s="10" t="n">
        <v>1</v>
      </c>
      <c r="F23" s="10" t="n">
        <v>4</v>
      </c>
      <c r="G23" s="10" t="n">
        <v>11</v>
      </c>
      <c r="H23" s="10" t="n">
        <v>9</v>
      </c>
      <c r="I23" s="10" t="n">
        <v>3</v>
      </c>
      <c r="J23" s="10" t="n">
        <v>1</v>
      </c>
      <c r="K23" s="10" t="n">
        <v>0</v>
      </c>
      <c r="L23" s="10" t="n">
        <v>2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12</v>
      </c>
      <c r="D25" s="10" t="n">
        <v>12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5</v>
      </c>
      <c r="M25" s="10" t="n">
        <v>10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12</v>
      </c>
      <c r="D26" s="10" t="n">
        <v>12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5</v>
      </c>
      <c r="M26" s="10" t="n">
        <v>10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2019.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-0.6</v>
      </c>
      <c r="C6" s="8" t="n">
        <v>3.5</v>
      </c>
      <c r="D6" s="8" t="n">
        <v>8.699999999999999</v>
      </c>
      <c r="E6" s="8" t="n">
        <v>12.8</v>
      </c>
      <c r="F6" s="8" t="n">
        <v>14.8</v>
      </c>
      <c r="G6" s="8" t="n">
        <v>22</v>
      </c>
      <c r="H6" s="8" t="n">
        <v>22.4</v>
      </c>
      <c r="I6" s="8" t="n">
        <v>23.3</v>
      </c>
      <c r="J6" s="8" t="n">
        <v>18.3</v>
      </c>
      <c r="K6" s="8" t="n">
        <v>14.3</v>
      </c>
      <c r="L6" s="8" t="n">
        <v>11.5</v>
      </c>
      <c r="M6" s="8" t="n">
        <v>3.6</v>
      </c>
      <c r="N6" s="9">
        <f>AVERAGE(B6:M6)</f>
        <v/>
      </c>
    </row>
    <row r="7">
      <c r="A7" s="7" t="inlineStr">
        <is>
          <t>Srednja maksimalna</t>
        </is>
      </c>
      <c r="B7" s="8" t="n">
        <v>2.8</v>
      </c>
      <c r="C7" s="8" t="n">
        <v>9</v>
      </c>
      <c r="D7" s="8" t="n">
        <v>15.6</v>
      </c>
      <c r="E7" s="8" t="n">
        <v>18.8</v>
      </c>
      <c r="F7" s="8" t="n">
        <v>20.2</v>
      </c>
      <c r="G7" s="8" t="n">
        <v>27.6</v>
      </c>
      <c r="H7" s="8" t="n">
        <v>28.2</v>
      </c>
      <c r="I7" s="8" t="n">
        <v>29.8</v>
      </c>
      <c r="J7" s="8" t="n">
        <v>24.4</v>
      </c>
      <c r="K7" s="8" t="n">
        <v>21.5</v>
      </c>
      <c r="L7" s="8" t="n">
        <v>16.2</v>
      </c>
      <c r="M7" s="8" t="n">
        <v>8</v>
      </c>
      <c r="N7" s="9">
        <f>AVERAGE(B7:M7)</f>
        <v/>
      </c>
    </row>
    <row r="8">
      <c r="A8" s="7" t="inlineStr">
        <is>
          <t>Srednja minimalna</t>
        </is>
      </c>
      <c r="B8" s="8" t="n">
        <v>-3.8</v>
      </c>
      <c r="C8" s="8" t="n">
        <v>-0.8</v>
      </c>
      <c r="D8" s="8" t="n">
        <v>2.8</v>
      </c>
      <c r="E8" s="8" t="n">
        <v>7.5</v>
      </c>
      <c r="F8" s="8" t="n">
        <v>9.800000000000001</v>
      </c>
      <c r="G8" s="8" t="n">
        <v>16.7</v>
      </c>
      <c r="H8" s="8" t="n">
        <v>16.5</v>
      </c>
      <c r="I8" s="8" t="n">
        <v>17.7</v>
      </c>
      <c r="J8" s="8" t="n">
        <v>13</v>
      </c>
      <c r="K8" s="8" t="n">
        <v>8.699999999999999</v>
      </c>
      <c r="L8" s="8" t="n">
        <v>7.3</v>
      </c>
      <c r="M8" s="8" t="n">
        <v>0.3</v>
      </c>
      <c r="N8" s="9">
        <f>AVERAGE(B8:M8)</f>
        <v/>
      </c>
    </row>
    <row r="9">
      <c r="A9" s="7" t="inlineStr">
        <is>
          <t>Apsolutni maksimum</t>
        </is>
      </c>
      <c r="B9" s="8" t="n">
        <v>10.2</v>
      </c>
      <c r="C9" s="8" t="n">
        <v>17.2</v>
      </c>
      <c r="D9" s="8" t="n">
        <v>22.1</v>
      </c>
      <c r="E9" s="8" t="n">
        <v>27.9</v>
      </c>
      <c r="F9" s="8" t="n">
        <v>26.9</v>
      </c>
      <c r="G9" s="8" t="n">
        <v>33.2</v>
      </c>
      <c r="H9" s="8" t="n">
        <v>35.5</v>
      </c>
      <c r="I9" s="8" t="n">
        <v>34.2</v>
      </c>
      <c r="J9" s="8" t="n">
        <v>31.2</v>
      </c>
      <c r="K9" s="8" t="n">
        <v>27.3</v>
      </c>
      <c r="L9" s="8" t="n">
        <v>22.6</v>
      </c>
      <c r="M9" s="8" t="n">
        <v>16.4</v>
      </c>
      <c r="N9" s="9">
        <f>MAX(B9:M9)</f>
        <v/>
      </c>
    </row>
    <row r="10">
      <c r="A10" s="7" t="inlineStr">
        <is>
          <t>Apsolutni minimum</t>
        </is>
      </c>
      <c r="B10" s="8" t="n">
        <v>-10.4</v>
      </c>
      <c r="C10" s="8" t="n">
        <v>-7.7</v>
      </c>
      <c r="D10" s="8" t="n">
        <v>-1.8</v>
      </c>
      <c r="E10" s="8" t="n">
        <v>2.3</v>
      </c>
      <c r="F10" s="8" t="n">
        <v>5.1</v>
      </c>
      <c r="G10" s="8" t="n">
        <v>10.6</v>
      </c>
      <c r="H10" s="8" t="n">
        <v>10.9</v>
      </c>
      <c r="I10" s="8" t="n">
        <v>11.3</v>
      </c>
      <c r="J10" s="8" t="n">
        <v>4.6</v>
      </c>
      <c r="K10" s="8" t="n">
        <v>4.7</v>
      </c>
      <c r="L10" s="8" t="n">
        <v>0.5</v>
      </c>
      <c r="M10" s="8" t="n">
        <v>-5.8</v>
      </c>
      <c r="N10" s="9">
        <f>MIN(B10:M10)</f>
        <v/>
      </c>
    </row>
    <row r="11">
      <c r="A11" s="7" t="inlineStr">
        <is>
          <t>Sr. br. mraznih dana</t>
        </is>
      </c>
      <c r="B11" s="10" t="n">
        <v>31</v>
      </c>
      <c r="C11" s="10" t="n">
        <v>19</v>
      </c>
      <c r="D11" s="10" t="n">
        <v>3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8</v>
      </c>
      <c r="H12" s="10" t="n">
        <v>10</v>
      </c>
      <c r="I12" s="10" t="n">
        <v>19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83.59999999999999</v>
      </c>
      <c r="C14" s="8" t="n">
        <v>72.40000000000001</v>
      </c>
      <c r="D14" s="8" t="n">
        <v>62.1</v>
      </c>
      <c r="E14" s="8" t="n">
        <v>64.40000000000001</v>
      </c>
      <c r="F14" s="8" t="n">
        <v>72.40000000000001</v>
      </c>
      <c r="G14" s="8" t="n">
        <v>75.09999999999999</v>
      </c>
      <c r="H14" s="8" t="n">
        <v>68.7</v>
      </c>
      <c r="I14" s="8" t="n">
        <v>67</v>
      </c>
      <c r="J14" s="8" t="n">
        <v>69.90000000000001</v>
      </c>
      <c r="K14" s="8" t="n">
        <v>73.40000000000001</v>
      </c>
      <c r="L14" s="8" t="n">
        <v>78.40000000000001</v>
      </c>
      <c r="M14" s="8" t="n">
        <v>82.90000000000001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101.2</v>
      </c>
      <c r="C16" s="8" t="n">
        <v>170.3</v>
      </c>
      <c r="D16" s="8" t="n">
        <v>281</v>
      </c>
      <c r="E16" s="8" t="n">
        <v>290.4</v>
      </c>
      <c r="F16" s="8" t="n">
        <v>287.2</v>
      </c>
      <c r="G16" s="8" t="n">
        <v>372.5</v>
      </c>
      <c r="H16" s="8" t="n">
        <v>393.8</v>
      </c>
      <c r="I16" s="8" t="n">
        <v>394.6</v>
      </c>
      <c r="J16" s="8" t="n">
        <v>304.8</v>
      </c>
      <c r="K16" s="8" t="n">
        <v>287.1</v>
      </c>
      <c r="L16" s="8" t="n">
        <v>174.4</v>
      </c>
      <c r="M16" s="8" t="n">
        <v>154.5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5</v>
      </c>
      <c r="D17" s="10" t="n">
        <v>10</v>
      </c>
      <c r="E17" s="10" t="n">
        <v>4</v>
      </c>
      <c r="F17" s="10" t="n">
        <v>0</v>
      </c>
      <c r="G17" s="10" t="n">
        <v>5</v>
      </c>
      <c r="H17" s="10" t="n">
        <v>9</v>
      </c>
      <c r="I17" s="10" t="n">
        <v>14</v>
      </c>
      <c r="J17" s="10" t="n">
        <v>9</v>
      </c>
      <c r="K17" s="10" t="n">
        <v>17</v>
      </c>
      <c r="L17" s="10" t="n">
        <v>0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19</v>
      </c>
      <c r="C18" s="10" t="n">
        <v>9</v>
      </c>
      <c r="D18" s="10" t="n">
        <v>4</v>
      </c>
      <c r="E18" s="10" t="n">
        <v>9</v>
      </c>
      <c r="F18" s="10" t="n">
        <v>13</v>
      </c>
      <c r="G18" s="10" t="n">
        <v>6</v>
      </c>
      <c r="H18" s="10" t="n">
        <v>3</v>
      </c>
      <c r="I18" s="10" t="n">
        <v>0</v>
      </c>
      <c r="J18" s="10" t="n">
        <v>3</v>
      </c>
      <c r="K18" s="10" t="n">
        <v>4</v>
      </c>
      <c r="L18" s="10" t="n">
        <v>11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92.5</v>
      </c>
      <c r="C20" s="8" t="n">
        <v>41.7</v>
      </c>
      <c r="D20" s="8" t="n">
        <v>17.2</v>
      </c>
      <c r="E20" s="8" t="n">
        <v>73.90000000000001</v>
      </c>
      <c r="F20" s="8" t="n">
        <v>74.8</v>
      </c>
      <c r="G20" s="8" t="n">
        <v>106.8</v>
      </c>
      <c r="H20" s="8" t="n">
        <v>86.90000000000001</v>
      </c>
      <c r="I20" s="8" t="n">
        <v>31.7</v>
      </c>
      <c r="J20" s="8" t="n">
        <v>22.6</v>
      </c>
      <c r="K20" s="8" t="n">
        <v>17.4</v>
      </c>
      <c r="L20" s="8" t="n">
        <v>66.09999999999999</v>
      </c>
      <c r="M20" s="8" t="n">
        <v>60.2</v>
      </c>
      <c r="N20" s="9">
        <f>SUM(B20:M20)</f>
        <v/>
      </c>
    </row>
    <row r="21">
      <c r="A21" s="7" t="inlineStr">
        <is>
          <t>Max. dnevna suma</t>
        </is>
      </c>
      <c r="B21" s="8" t="n">
        <v>19.3</v>
      </c>
      <c r="C21" s="8" t="n">
        <v>11.8</v>
      </c>
      <c r="D21" s="8" t="n">
        <v>8.800000000000001</v>
      </c>
      <c r="E21" s="8" t="n">
        <v>16.7</v>
      </c>
      <c r="F21" s="8" t="n">
        <v>17.3</v>
      </c>
      <c r="G21" s="8" t="n">
        <v>26.9</v>
      </c>
      <c r="H21" s="8" t="n">
        <v>24.6</v>
      </c>
      <c r="I21" s="8" t="n">
        <v>9.6</v>
      </c>
      <c r="J21" s="8" t="n">
        <v>8.4</v>
      </c>
      <c r="K21" s="8" t="n">
        <v>8.1</v>
      </c>
      <c r="L21" s="8" t="n">
        <v>19.6</v>
      </c>
      <c r="M21" s="8" t="n">
        <v>10.3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25</v>
      </c>
      <c r="C22" s="10" t="n">
        <v>14</v>
      </c>
      <c r="D22" s="10" t="n">
        <v>6</v>
      </c>
      <c r="E22" s="10" t="n">
        <v>20</v>
      </c>
      <c r="F22" s="10" t="n">
        <v>25</v>
      </c>
      <c r="G22" s="10" t="n">
        <v>21</v>
      </c>
      <c r="H22" s="10" t="n">
        <v>18</v>
      </c>
      <c r="I22" s="10" t="n">
        <v>10</v>
      </c>
      <c r="J22" s="10" t="n">
        <v>10</v>
      </c>
      <c r="K22" s="10" t="n">
        <v>8</v>
      </c>
      <c r="L22" s="10" t="n">
        <v>16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2</v>
      </c>
      <c r="D23" s="10" t="n">
        <v>0</v>
      </c>
      <c r="E23" s="10" t="n">
        <v>3</v>
      </c>
      <c r="F23" s="10" t="n">
        <v>2</v>
      </c>
      <c r="G23" s="10" t="n">
        <v>3</v>
      </c>
      <c r="H23" s="10" t="n">
        <v>2</v>
      </c>
      <c r="I23" s="10" t="n">
        <v>0</v>
      </c>
      <c r="J23" s="10" t="n">
        <v>0</v>
      </c>
      <c r="K23" s="10" t="n">
        <v>0</v>
      </c>
      <c r="L23" s="10" t="n">
        <v>2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20</v>
      </c>
      <c r="C25" s="10" t="n">
        <v>6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20</v>
      </c>
      <c r="C26" s="10" t="n">
        <v>6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2020.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0.7</v>
      </c>
      <c r="C6" s="8" t="n">
        <v>4.9</v>
      </c>
      <c r="D6" s="8" t="n">
        <v>7.4</v>
      </c>
      <c r="E6" s="8" t="n">
        <v>11.3</v>
      </c>
      <c r="F6" s="8" t="n">
        <v>15.8</v>
      </c>
      <c r="G6" s="8" t="n">
        <v>19.6</v>
      </c>
      <c r="H6" s="8" t="n">
        <v>21.7</v>
      </c>
      <c r="I6" s="8" t="n">
        <v>22.4</v>
      </c>
      <c r="J6" s="8" t="n">
        <v>19.5</v>
      </c>
      <c r="K6" s="8" t="n">
        <v>13.4</v>
      </c>
      <c r="L6" s="8" t="n">
        <v>5.9</v>
      </c>
      <c r="M6" s="8" t="n">
        <v>4.5</v>
      </c>
      <c r="N6" s="9">
        <f>AVERAGE(B6:M6)</f>
        <v/>
      </c>
    </row>
    <row r="7">
      <c r="A7" s="7" t="inlineStr">
        <is>
          <t>Srednja maksimalna</t>
        </is>
      </c>
      <c r="B7" s="8" t="n">
        <v>5.9</v>
      </c>
      <c r="C7" s="8" t="n">
        <v>11.2</v>
      </c>
      <c r="D7" s="8" t="n">
        <v>13</v>
      </c>
      <c r="E7" s="8" t="n">
        <v>18.2</v>
      </c>
      <c r="F7" s="8" t="n">
        <v>21.3</v>
      </c>
      <c r="G7" s="8" t="n">
        <v>24.3</v>
      </c>
      <c r="H7" s="8" t="n">
        <v>27.3</v>
      </c>
      <c r="I7" s="8" t="n">
        <v>28.5</v>
      </c>
      <c r="J7" s="8" t="n">
        <v>25.8</v>
      </c>
      <c r="K7" s="8" t="n">
        <v>19.5</v>
      </c>
      <c r="L7" s="8" t="n">
        <v>10.7</v>
      </c>
      <c r="M7" s="8" t="n">
        <v>9.1</v>
      </c>
      <c r="N7" s="9">
        <f>AVERAGE(B7:M7)</f>
        <v/>
      </c>
    </row>
    <row r="8">
      <c r="A8" s="7" t="inlineStr">
        <is>
          <t>Srednja minimalna</t>
        </is>
      </c>
      <c r="B8" s="8" t="n">
        <v>-3</v>
      </c>
      <c r="C8" s="8" t="n">
        <v>-0.3</v>
      </c>
      <c r="D8" s="8" t="n">
        <v>2.5</v>
      </c>
      <c r="E8" s="8" t="n">
        <v>5.1</v>
      </c>
      <c r="F8" s="8" t="n">
        <v>10.7</v>
      </c>
      <c r="G8" s="8" t="n">
        <v>14.8</v>
      </c>
      <c r="H8" s="8" t="n">
        <v>15.9</v>
      </c>
      <c r="I8" s="8" t="n">
        <v>17.1</v>
      </c>
      <c r="J8" s="8" t="n">
        <v>13.8</v>
      </c>
      <c r="K8" s="8" t="n">
        <v>8.6</v>
      </c>
      <c r="L8" s="8" t="n">
        <v>2.4</v>
      </c>
      <c r="M8" s="8" t="n">
        <v>1.4</v>
      </c>
      <c r="N8" s="9">
        <f>AVERAGE(B8:M8)</f>
        <v/>
      </c>
    </row>
    <row r="9">
      <c r="A9" s="7" t="inlineStr">
        <is>
          <t>Apsolutni maksimum</t>
        </is>
      </c>
      <c r="B9" s="8" t="n">
        <v>13.7</v>
      </c>
      <c r="C9" s="8" t="n">
        <v>19.4</v>
      </c>
      <c r="D9" s="8" t="n">
        <v>21.9</v>
      </c>
      <c r="E9" s="8" t="n">
        <v>26.6</v>
      </c>
      <c r="F9" s="8" t="n">
        <v>34.7</v>
      </c>
      <c r="G9" s="8" t="n">
        <v>31.2</v>
      </c>
      <c r="H9" s="8" t="n">
        <v>33.2</v>
      </c>
      <c r="I9" s="8" t="n">
        <v>34.8</v>
      </c>
      <c r="J9" s="8" t="n">
        <v>29.6</v>
      </c>
      <c r="K9" s="8" t="n">
        <v>29.2</v>
      </c>
      <c r="L9" s="8" t="n">
        <v>20.1</v>
      </c>
      <c r="M9" s="8" t="n">
        <v>16.5</v>
      </c>
      <c r="N9" s="9">
        <f>MAX(B9:M9)</f>
        <v/>
      </c>
    </row>
    <row r="10">
      <c r="A10" s="7" t="inlineStr">
        <is>
          <t>Apsolutni minimum</t>
        </is>
      </c>
      <c r="B10" s="8" t="n">
        <v>-5.9</v>
      </c>
      <c r="C10" s="8" t="n">
        <v>-4.6</v>
      </c>
      <c r="D10" s="8" t="n">
        <v>-2.1</v>
      </c>
      <c r="E10" s="8" t="n">
        <v>-1.4</v>
      </c>
      <c r="F10" s="8" t="n">
        <v>4.3</v>
      </c>
      <c r="G10" s="8" t="n">
        <v>7.3</v>
      </c>
      <c r="H10" s="8" t="n">
        <v>10.5</v>
      </c>
      <c r="I10" s="8" t="n">
        <v>12.5</v>
      </c>
      <c r="J10" s="8" t="n">
        <v>8.9</v>
      </c>
      <c r="K10" s="8" t="n">
        <v>2.5</v>
      </c>
      <c r="L10" s="8" t="n">
        <v>-4.4</v>
      </c>
      <c r="M10" s="8" t="n">
        <v>-4.4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16</v>
      </c>
      <c r="D11" s="10" t="n">
        <v>7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8</v>
      </c>
      <c r="M11" s="10" t="n">
        <v>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2</v>
      </c>
      <c r="H12" s="10" t="n">
        <v>9</v>
      </c>
      <c r="I12" s="10" t="n">
        <v>9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78.2</v>
      </c>
      <c r="C14" s="8" t="n">
        <v>72.90000000000001</v>
      </c>
      <c r="D14" s="8" t="n">
        <v>67.5</v>
      </c>
      <c r="E14" s="8" t="n">
        <v>60.5</v>
      </c>
      <c r="F14" s="8" t="n">
        <v>68.90000000000001</v>
      </c>
      <c r="G14" s="8" t="n">
        <v>75.59999999999999</v>
      </c>
      <c r="H14" s="8" t="n">
        <v>71.59999999999999</v>
      </c>
      <c r="I14" s="8" t="n">
        <v>74.5</v>
      </c>
      <c r="J14" s="8" t="n">
        <v>64.5</v>
      </c>
      <c r="K14" s="8" t="n">
        <v>78.2</v>
      </c>
      <c r="L14" s="8" t="n">
        <v>86.3</v>
      </c>
      <c r="M14" s="8" t="n">
        <v>84.5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218.2</v>
      </c>
      <c r="C16" s="8" t="n">
        <v>206.3</v>
      </c>
      <c r="D16" s="8" t="n">
        <v>229.5</v>
      </c>
      <c r="E16" s="8" t="n">
        <v>319.6</v>
      </c>
      <c r="F16" s="8" t="n">
        <v>301.7</v>
      </c>
      <c r="G16" s="8" t="n">
        <v>341.9</v>
      </c>
      <c r="H16" s="8" t="n">
        <v>390.2</v>
      </c>
      <c r="I16" s="8" t="n">
        <v>361.3</v>
      </c>
      <c r="J16" s="8" t="n">
        <v>338.7</v>
      </c>
      <c r="K16" s="8" t="n">
        <v>235.9</v>
      </c>
      <c r="L16" s="8" t="n">
        <v>188.3</v>
      </c>
      <c r="M16" s="8" t="n">
        <v>185.3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3</v>
      </c>
      <c r="D17" s="10" t="n">
        <v>5</v>
      </c>
      <c r="E17" s="10" t="n">
        <v>10</v>
      </c>
      <c r="F17" s="10" t="n">
        <v>1</v>
      </c>
      <c r="G17" s="10" t="n">
        <v>2</v>
      </c>
      <c r="H17" s="10" t="n">
        <v>11</v>
      </c>
      <c r="I17" s="10" t="n">
        <v>13</v>
      </c>
      <c r="J17" s="10" t="n">
        <v>12</v>
      </c>
      <c r="K17" s="10" t="n">
        <v>2</v>
      </c>
      <c r="L17" s="10" t="n">
        <v>1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4</v>
      </c>
      <c r="C18" s="10" t="n">
        <v>7</v>
      </c>
      <c r="D18" s="10" t="n">
        <v>13</v>
      </c>
      <c r="E18" s="10" t="n">
        <v>5</v>
      </c>
      <c r="F18" s="10" t="n">
        <v>11</v>
      </c>
      <c r="G18" s="10" t="n">
        <v>8</v>
      </c>
      <c r="H18" s="10" t="n">
        <v>2</v>
      </c>
      <c r="I18" s="10" t="n">
        <v>4</v>
      </c>
      <c r="J18" s="10" t="n">
        <v>1</v>
      </c>
      <c r="K18" s="10" t="n">
        <v>11</v>
      </c>
      <c r="L18" s="10" t="n">
        <v>8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24.8</v>
      </c>
      <c r="C20" s="8" t="n">
        <v>59.1</v>
      </c>
      <c r="D20" s="8" t="n">
        <v>78.09999999999999</v>
      </c>
      <c r="E20" s="8" t="n">
        <v>35.3</v>
      </c>
      <c r="F20" s="8" t="n">
        <v>87.7</v>
      </c>
      <c r="G20" s="8" t="n">
        <v>130.6</v>
      </c>
      <c r="H20" s="8" t="n">
        <v>60.8</v>
      </c>
      <c r="I20" s="8" t="n">
        <v>115.4</v>
      </c>
      <c r="J20" s="8" t="n">
        <v>23.5</v>
      </c>
      <c r="K20" s="8" t="n">
        <v>94.7</v>
      </c>
      <c r="L20" s="8" t="n">
        <v>8.699999999999999</v>
      </c>
      <c r="M20" s="8" t="n">
        <v>53.6</v>
      </c>
      <c r="N20" s="9">
        <f>SUM(B20:M20)</f>
        <v/>
      </c>
    </row>
    <row r="21">
      <c r="A21" s="7" t="inlineStr">
        <is>
          <t>Max. dnevna suma</t>
        </is>
      </c>
      <c r="B21" s="8" t="n">
        <v>14</v>
      </c>
      <c r="C21" s="8" t="n">
        <v>12.5</v>
      </c>
      <c r="D21" s="8" t="n">
        <v>17</v>
      </c>
      <c r="E21" s="8" t="n">
        <v>15.2</v>
      </c>
      <c r="F21" s="8" t="n">
        <v>19</v>
      </c>
      <c r="G21" s="8" t="n">
        <v>48.5</v>
      </c>
      <c r="H21" s="8" t="n">
        <v>20.6</v>
      </c>
      <c r="I21" s="8" t="n">
        <v>23.9</v>
      </c>
      <c r="J21" s="8" t="n">
        <v>11.1</v>
      </c>
      <c r="K21" s="8" t="n">
        <v>25.5</v>
      </c>
      <c r="L21" s="8" t="n">
        <v>1.9</v>
      </c>
      <c r="M21" s="8" t="n">
        <v>23.3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5</v>
      </c>
      <c r="C22" s="10" t="n">
        <v>16</v>
      </c>
      <c r="D22" s="10" t="n">
        <v>16</v>
      </c>
      <c r="E22" s="10" t="n">
        <v>10</v>
      </c>
      <c r="F22" s="10" t="n">
        <v>21</v>
      </c>
      <c r="G22" s="10" t="n">
        <v>25</v>
      </c>
      <c r="H22" s="10" t="n">
        <v>15</v>
      </c>
      <c r="I22" s="10" t="n">
        <v>16</v>
      </c>
      <c r="J22" s="10" t="n">
        <v>5</v>
      </c>
      <c r="K22" s="10" t="n">
        <v>12</v>
      </c>
      <c r="L22" s="10" t="n">
        <v>9</v>
      </c>
      <c r="M22" s="10" t="n">
        <v>12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1</v>
      </c>
      <c r="D23" s="10" t="n">
        <v>3</v>
      </c>
      <c r="E23" s="10" t="n">
        <v>1</v>
      </c>
      <c r="F23" s="10" t="n">
        <v>1</v>
      </c>
      <c r="G23" s="10" t="n">
        <v>3</v>
      </c>
      <c r="H23" s="10" t="n">
        <v>1</v>
      </c>
      <c r="I23" s="10" t="n">
        <v>5</v>
      </c>
      <c r="J23" s="10" t="n">
        <v>1</v>
      </c>
      <c r="K23" s="10" t="n">
        <v>4</v>
      </c>
      <c r="L23" s="10" t="n">
        <v>0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</v>
      </c>
      <c r="C25" s="10" t="n">
        <v>5</v>
      </c>
      <c r="D25" s="10" t="n">
        <v>4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2</v>
      </c>
      <c r="C26" s="10" t="n">
        <v>5</v>
      </c>
      <c r="D26" s="10" t="n">
        <v>4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2021.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2.6</v>
      </c>
      <c r="C6" s="8" t="n">
        <v>5</v>
      </c>
      <c r="D6" s="8" t="n">
        <v>4.8</v>
      </c>
      <c r="E6" s="8" t="n">
        <v>9.1</v>
      </c>
      <c r="F6" s="8" t="n">
        <v>16.7</v>
      </c>
      <c r="G6" s="8" t="n">
        <v>21.2</v>
      </c>
      <c r="H6" s="8" t="n">
        <v>24.5</v>
      </c>
      <c r="I6" s="8" t="n">
        <v>22.4</v>
      </c>
      <c r="J6" s="8" t="n">
        <v>17.3</v>
      </c>
      <c r="K6" s="8" t="n">
        <v>10</v>
      </c>
      <c r="L6" s="8" t="n">
        <v>8.199999999999999</v>
      </c>
      <c r="M6" s="8" t="n">
        <v>3.6</v>
      </c>
      <c r="N6" s="9">
        <f>AVERAGE(B6:M6)</f>
        <v/>
      </c>
    </row>
    <row r="7">
      <c r="A7" s="7" t="inlineStr">
        <is>
          <t>Srednja maksimalna</t>
        </is>
      </c>
      <c r="B7" s="8" t="n">
        <v>6.7</v>
      </c>
      <c r="C7" s="8" t="n">
        <v>11.4</v>
      </c>
      <c r="D7" s="8" t="n">
        <v>10.9</v>
      </c>
      <c r="E7" s="8" t="n">
        <v>15.2</v>
      </c>
      <c r="F7" s="8" t="n">
        <v>23</v>
      </c>
      <c r="G7" s="8" t="n">
        <v>27.2</v>
      </c>
      <c r="H7" s="8" t="n">
        <v>30.5</v>
      </c>
      <c r="I7" s="8" t="n">
        <v>28.8</v>
      </c>
      <c r="J7" s="8" t="n">
        <v>23.7</v>
      </c>
      <c r="K7" s="8" t="n">
        <v>15.3</v>
      </c>
      <c r="L7" s="8" t="n">
        <v>13.2</v>
      </c>
      <c r="M7" s="8" t="n">
        <v>7.3</v>
      </c>
      <c r="N7" s="9">
        <f>AVERAGE(B7:M7)</f>
        <v/>
      </c>
    </row>
    <row r="8">
      <c r="A8" s="7" t="inlineStr">
        <is>
          <t>Srednja minimalna</t>
        </is>
      </c>
      <c r="B8" s="8" t="n">
        <v>-1.2</v>
      </c>
      <c r="C8" s="8" t="n">
        <v>-0.2</v>
      </c>
      <c r="D8" s="8" t="n">
        <v>-0.1</v>
      </c>
      <c r="E8" s="8" t="n">
        <v>3.6</v>
      </c>
      <c r="F8" s="8" t="n">
        <v>10.7</v>
      </c>
      <c r="G8" s="8" t="n">
        <v>14.6</v>
      </c>
      <c r="H8" s="8" t="n">
        <v>18.5</v>
      </c>
      <c r="I8" s="8" t="n">
        <v>16.5</v>
      </c>
      <c r="J8" s="8" t="n">
        <v>11.9</v>
      </c>
      <c r="K8" s="8" t="n">
        <v>5.8</v>
      </c>
      <c r="L8" s="8" t="n">
        <v>4.3</v>
      </c>
      <c r="M8" s="8" t="n">
        <v>0.1</v>
      </c>
      <c r="N8" s="9">
        <f>AVERAGE(B8:M8)</f>
        <v/>
      </c>
    </row>
    <row r="9">
      <c r="A9" s="7" t="inlineStr">
        <is>
          <t>Apsolutni maksimum</t>
        </is>
      </c>
      <c r="B9" s="8" t="n">
        <v>14.6</v>
      </c>
      <c r="C9" s="8" t="n">
        <v>18</v>
      </c>
      <c r="D9" s="8" t="n">
        <v>18.1</v>
      </c>
      <c r="E9" s="8" t="n">
        <v>27.8</v>
      </c>
      <c r="F9" s="8" t="n">
        <v>32.4</v>
      </c>
      <c r="G9" s="8" t="n">
        <v>37.9</v>
      </c>
      <c r="H9" s="8" t="n">
        <v>37.3</v>
      </c>
      <c r="I9" s="8" t="n">
        <v>38</v>
      </c>
      <c r="J9" s="8" t="n">
        <v>30.1</v>
      </c>
      <c r="K9" s="8" t="n">
        <v>23.7</v>
      </c>
      <c r="L9" s="8" t="n">
        <v>24.2</v>
      </c>
      <c r="M9" s="8" t="n">
        <v>14.3</v>
      </c>
      <c r="N9" s="9">
        <f>MAX(B9:M9)</f>
        <v/>
      </c>
    </row>
    <row r="10">
      <c r="A10" s="7" t="inlineStr">
        <is>
          <t>Apsolutni minimum</t>
        </is>
      </c>
      <c r="B10" s="8" t="n">
        <v>-14.5</v>
      </c>
      <c r="C10" s="8" t="n">
        <v>-7.4</v>
      </c>
      <c r="D10" s="8" t="n">
        <v>-5.3</v>
      </c>
      <c r="E10" s="8" t="n">
        <v>-3</v>
      </c>
      <c r="F10" s="8" t="n">
        <v>4</v>
      </c>
      <c r="G10" s="8" t="n">
        <v>7.6</v>
      </c>
      <c r="H10" s="8" t="n">
        <v>14.3</v>
      </c>
      <c r="I10" s="8" t="n">
        <v>11.9</v>
      </c>
      <c r="J10" s="8" t="n">
        <v>5.3</v>
      </c>
      <c r="K10" s="8" t="n">
        <v>0.4</v>
      </c>
      <c r="L10" s="8" t="n">
        <v>-1.7</v>
      </c>
      <c r="M10" s="8" t="n">
        <v>-7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13</v>
      </c>
      <c r="D11" s="10" t="n">
        <v>15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4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2</v>
      </c>
      <c r="G12" s="10" t="n">
        <v>7</v>
      </c>
      <c r="H12" s="10" t="n">
        <v>19</v>
      </c>
      <c r="I12" s="10" t="n">
        <v>13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79.40000000000001</v>
      </c>
      <c r="C14" s="8" t="n">
        <v>72</v>
      </c>
      <c r="D14" s="8" t="n">
        <v>69.8</v>
      </c>
      <c r="E14" s="8" t="n">
        <v>68.40000000000001</v>
      </c>
      <c r="F14" s="8" t="n">
        <v>61.8</v>
      </c>
      <c r="G14" s="8" t="n">
        <v>67.59999999999999</v>
      </c>
      <c r="H14" s="8" t="n">
        <v>64.59999999999999</v>
      </c>
      <c r="I14" s="8" t="n">
        <v>63.4</v>
      </c>
      <c r="J14" s="8" t="n">
        <v>66.8</v>
      </c>
      <c r="K14" s="8" t="n">
        <v>76.90000000000001</v>
      </c>
      <c r="L14" s="8" t="n">
        <v>79.3</v>
      </c>
      <c r="M14" s="8" t="n">
        <v>79.3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152.5</v>
      </c>
      <c r="C16" s="8" t="n">
        <v>220.7</v>
      </c>
      <c r="D16" s="8" t="n">
        <v>238.6</v>
      </c>
      <c r="E16" s="8" t="n">
        <v>284.1</v>
      </c>
      <c r="F16" s="8" t="n">
        <v>372.7</v>
      </c>
      <c r="G16" s="8" t="n">
        <v>415.9</v>
      </c>
      <c r="H16" s="8" t="n">
        <v>420.7</v>
      </c>
      <c r="I16" s="8" t="n">
        <v>380.7</v>
      </c>
      <c r="J16" s="8" t="n">
        <v>326.4</v>
      </c>
      <c r="K16" s="8" t="n">
        <v>209.2</v>
      </c>
      <c r="L16" s="8" t="n">
        <v>170.9</v>
      </c>
      <c r="M16" s="8" t="n">
        <v>105.1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5</v>
      </c>
      <c r="D17" s="10" t="n">
        <v>8</v>
      </c>
      <c r="E17" s="10" t="n">
        <v>2</v>
      </c>
      <c r="F17" s="10" t="n">
        <v>3</v>
      </c>
      <c r="G17" s="10" t="n">
        <v>6</v>
      </c>
      <c r="H17" s="10" t="n">
        <v>14</v>
      </c>
      <c r="I17" s="10" t="n">
        <v>18</v>
      </c>
      <c r="J17" s="10" t="n">
        <v>8</v>
      </c>
      <c r="K17" s="10" t="n">
        <v>12</v>
      </c>
      <c r="L17" s="10" t="n">
        <v>2</v>
      </c>
      <c r="M17" s="10" t="n">
        <v>0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4</v>
      </c>
      <c r="D18" s="10" t="n">
        <v>10</v>
      </c>
      <c r="E18" s="10" t="n">
        <v>7</v>
      </c>
      <c r="F18" s="10" t="n">
        <v>4</v>
      </c>
      <c r="G18" s="10" t="n">
        <v>1</v>
      </c>
      <c r="H18" s="10" t="n">
        <v>1</v>
      </c>
      <c r="I18" s="10" t="n">
        <v>1</v>
      </c>
      <c r="J18" s="10" t="n">
        <v>4</v>
      </c>
      <c r="K18" s="10" t="n">
        <v>11</v>
      </c>
      <c r="L18" s="10" t="n">
        <v>16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115.3</v>
      </c>
      <c r="C20" s="8" t="n">
        <v>25</v>
      </c>
      <c r="D20" s="8" t="n">
        <v>70.7</v>
      </c>
      <c r="E20" s="8" t="n">
        <v>43.6</v>
      </c>
      <c r="F20" s="8" t="n">
        <v>40.9</v>
      </c>
      <c r="G20" s="8" t="n">
        <v>44.4</v>
      </c>
      <c r="H20" s="8" t="n">
        <v>76.09999999999999</v>
      </c>
      <c r="I20" s="8" t="n">
        <v>11.9</v>
      </c>
      <c r="J20" s="8" t="n">
        <v>18.7</v>
      </c>
      <c r="K20" s="8" t="n">
        <v>55.4</v>
      </c>
      <c r="L20" s="8" t="n">
        <v>45.8</v>
      </c>
      <c r="M20" s="8" t="n">
        <v>93</v>
      </c>
      <c r="N20" s="9">
        <f>SUM(B20:M20)</f>
        <v/>
      </c>
    </row>
    <row r="21">
      <c r="A21" s="7" t="inlineStr">
        <is>
          <t>Max. dnevna suma</t>
        </is>
      </c>
      <c r="B21" s="8" t="n">
        <v>24.9</v>
      </c>
      <c r="C21" s="8" t="n">
        <v>9.300000000000001</v>
      </c>
      <c r="D21" s="8" t="n">
        <v>19.5</v>
      </c>
      <c r="E21" s="8" t="n">
        <v>7.8</v>
      </c>
      <c r="F21" s="8" t="n">
        <v>12.8</v>
      </c>
      <c r="G21" s="8" t="n">
        <v>10.6</v>
      </c>
      <c r="H21" s="8" t="n">
        <v>34.1</v>
      </c>
      <c r="I21" s="8" t="n">
        <v>4.4</v>
      </c>
      <c r="J21" s="8" t="n">
        <v>6.3</v>
      </c>
      <c r="K21" s="8" t="n">
        <v>10.9</v>
      </c>
      <c r="L21" s="8" t="n">
        <v>16</v>
      </c>
      <c r="M21" s="8" t="n">
        <v>19.9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11</v>
      </c>
      <c r="D22" s="10" t="n">
        <v>15</v>
      </c>
      <c r="E22" s="10" t="n">
        <v>18</v>
      </c>
      <c r="F22" s="10" t="n">
        <v>16</v>
      </c>
      <c r="G22" s="10" t="n">
        <v>18</v>
      </c>
      <c r="H22" s="10" t="n">
        <v>12</v>
      </c>
      <c r="I22" s="10" t="n">
        <v>8</v>
      </c>
      <c r="J22" s="10" t="n">
        <v>11</v>
      </c>
      <c r="K22" s="10" t="n">
        <v>13</v>
      </c>
      <c r="L22" s="10" t="n">
        <v>13</v>
      </c>
      <c r="M22" s="10" t="n">
        <v>22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0</v>
      </c>
      <c r="D23" s="10" t="n">
        <v>2</v>
      </c>
      <c r="E23" s="10" t="n">
        <v>0</v>
      </c>
      <c r="F23" s="10" t="n">
        <v>1</v>
      </c>
      <c r="G23" s="10" t="n">
        <v>1</v>
      </c>
      <c r="H23" s="10" t="n">
        <v>2</v>
      </c>
      <c r="I23" s="10" t="n">
        <v>0</v>
      </c>
      <c r="J23" s="10" t="n">
        <v>0</v>
      </c>
      <c r="K23" s="10" t="n">
        <v>1</v>
      </c>
      <c r="L23" s="10" t="n">
        <v>2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13</v>
      </c>
      <c r="C25" s="10" t="n">
        <v>3</v>
      </c>
      <c r="D25" s="10" t="n">
        <v>7</v>
      </c>
      <c r="E25" s="10" t="n">
        <v>3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9</v>
      </c>
      <c r="N25" s="11">
        <f>SUM(B25:M25)</f>
        <v/>
      </c>
    </row>
    <row r="26">
      <c r="A26" s="7" t="inlineStr">
        <is>
          <t>snežnim pokrivačem</t>
        </is>
      </c>
      <c r="B26" s="10" t="n">
        <v>13</v>
      </c>
      <c r="C26" s="10" t="n">
        <v>3</v>
      </c>
      <c r="D26" s="10" t="n">
        <v>7</v>
      </c>
      <c r="E26" s="10" t="n">
        <v>3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9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2022.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0.5</v>
      </c>
      <c r="C6" s="8" t="n">
        <v>4.8</v>
      </c>
      <c r="D6" s="8" t="n">
        <v>4.3</v>
      </c>
      <c r="E6" s="8" t="n">
        <v>11.4</v>
      </c>
      <c r="F6" s="8" t="n">
        <v>18.4</v>
      </c>
      <c r="G6" s="8" t="n">
        <v>21.9</v>
      </c>
      <c r="H6" s="8" t="n">
        <v>23.9</v>
      </c>
      <c r="I6" s="8" t="n">
        <v>23.1</v>
      </c>
      <c r="J6" s="8" t="n">
        <v>17</v>
      </c>
      <c r="K6" s="8" t="n">
        <v>13.5</v>
      </c>
      <c r="L6" s="8" t="n">
        <v>9.199999999999999</v>
      </c>
      <c r="M6" s="8" t="n">
        <v>5.2</v>
      </c>
      <c r="N6" s="9">
        <f>AVERAGE(B6:M6)</f>
        <v/>
      </c>
    </row>
    <row r="7">
      <c r="A7" s="7" t="inlineStr">
        <is>
          <t>Srednja maksimalna</t>
        </is>
      </c>
      <c r="B7" s="8" t="n">
        <v>5</v>
      </c>
      <c r="C7" s="8" t="n">
        <v>10.2</v>
      </c>
      <c r="D7" s="8" t="n">
        <v>10.9</v>
      </c>
      <c r="E7" s="8" t="n">
        <v>17.6</v>
      </c>
      <c r="F7" s="8" t="n">
        <v>25.3</v>
      </c>
      <c r="G7" s="8" t="n">
        <v>28.1</v>
      </c>
      <c r="H7" s="8" t="n">
        <v>30.4</v>
      </c>
      <c r="I7" s="8" t="n">
        <v>28.9</v>
      </c>
      <c r="J7" s="8" t="n">
        <v>22.9</v>
      </c>
      <c r="K7" s="8" t="n">
        <v>20.4</v>
      </c>
      <c r="L7" s="8" t="n">
        <v>13.9</v>
      </c>
      <c r="M7" s="8" t="n">
        <v>10.1</v>
      </c>
      <c r="N7" s="9">
        <f>AVERAGE(B7:M7)</f>
        <v/>
      </c>
    </row>
    <row r="8">
      <c r="A8" s="7" t="inlineStr">
        <is>
          <t>Srednja minimalna</t>
        </is>
      </c>
      <c r="B8" s="8" t="n">
        <v>-4</v>
      </c>
      <c r="C8" s="8" t="n">
        <v>0.4</v>
      </c>
      <c r="D8" s="8" t="n">
        <v>-1.4</v>
      </c>
      <c r="E8" s="8" t="n">
        <v>5.3</v>
      </c>
      <c r="F8" s="8" t="n">
        <v>11.4</v>
      </c>
      <c r="G8" s="8" t="n">
        <v>16</v>
      </c>
      <c r="H8" s="8" t="n">
        <v>17.4</v>
      </c>
      <c r="I8" s="8" t="n">
        <v>17.8</v>
      </c>
      <c r="J8" s="8" t="n">
        <v>12.1</v>
      </c>
      <c r="K8" s="8" t="n">
        <v>8</v>
      </c>
      <c r="L8" s="8" t="n">
        <v>5.2</v>
      </c>
      <c r="M8" s="8" t="n">
        <v>1.4</v>
      </c>
      <c r="N8" s="9">
        <f>AVERAGE(B8:M8)</f>
        <v/>
      </c>
    </row>
    <row r="9">
      <c r="A9" s="7" t="inlineStr">
        <is>
          <t>Apsolutni maksimum</t>
        </is>
      </c>
      <c r="B9" s="8" t="n">
        <v>14.5</v>
      </c>
      <c r="C9" s="8" t="n">
        <v>17.6</v>
      </c>
      <c r="D9" s="8" t="n">
        <v>21.3</v>
      </c>
      <c r="E9" s="8" t="n">
        <v>26.6</v>
      </c>
      <c r="F9" s="8" t="n">
        <v>32.5</v>
      </c>
      <c r="G9" s="8" t="n">
        <v>32.2</v>
      </c>
      <c r="H9" s="8" t="n">
        <v>37.2</v>
      </c>
      <c r="I9" s="8" t="n">
        <v>36.3</v>
      </c>
      <c r="J9" s="8" t="n">
        <v>29.6</v>
      </c>
      <c r="K9" s="8" t="n">
        <v>24.8</v>
      </c>
      <c r="L9" s="8" t="n">
        <v>23.1</v>
      </c>
      <c r="M9" s="8" t="n">
        <v>18.3</v>
      </c>
      <c r="N9" s="9">
        <f>MAX(B9:M9)</f>
        <v/>
      </c>
    </row>
    <row r="10">
      <c r="A10" s="7" t="inlineStr">
        <is>
          <t>Apsolutni minimum</t>
        </is>
      </c>
      <c r="B10" s="8" t="n">
        <v>-14.5</v>
      </c>
      <c r="C10" s="8" t="n">
        <v>-3.6</v>
      </c>
      <c r="D10" s="8" t="n">
        <v>-8</v>
      </c>
      <c r="E10" s="8" t="n">
        <v>-1.3</v>
      </c>
      <c r="F10" s="8" t="n">
        <v>5.3</v>
      </c>
      <c r="G10" s="8" t="n">
        <v>12.3</v>
      </c>
      <c r="H10" s="8" t="n">
        <v>12.3</v>
      </c>
      <c r="I10" s="8" t="n">
        <v>15</v>
      </c>
      <c r="J10" s="8" t="n">
        <v>4</v>
      </c>
      <c r="K10" s="8" t="n">
        <v>2.4</v>
      </c>
      <c r="L10" s="8" t="n">
        <v>-1.1</v>
      </c>
      <c r="M10" s="8" t="n">
        <v>-6.1</v>
      </c>
      <c r="N10" s="9">
        <f>MIN(B10:M10)</f>
        <v/>
      </c>
    </row>
    <row r="11">
      <c r="A11" s="7" t="inlineStr">
        <is>
          <t>Sr. br. mraznih dana</t>
        </is>
      </c>
      <c r="B11" s="10" t="n">
        <v>26</v>
      </c>
      <c r="C11" s="10" t="n">
        <v>12</v>
      </c>
      <c r="D11" s="10" t="n">
        <v>22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9</v>
      </c>
      <c r="H12" s="10" t="n">
        <v>18</v>
      </c>
      <c r="I12" s="10" t="n">
        <v>13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77.7</v>
      </c>
      <c r="C14" s="8" t="n">
        <v>72.90000000000001</v>
      </c>
      <c r="D14" s="8" t="n">
        <v>61.1</v>
      </c>
      <c r="E14" s="8" t="n">
        <v>62.7</v>
      </c>
      <c r="F14" s="8" t="n">
        <v>59.6</v>
      </c>
      <c r="G14" s="8" t="n">
        <v>69.7</v>
      </c>
      <c r="H14" s="8" t="n">
        <v>56.9</v>
      </c>
      <c r="I14" s="8" t="n">
        <v>68.09999999999999</v>
      </c>
      <c r="J14" s="8" t="n">
        <v>74.90000000000001</v>
      </c>
      <c r="K14" s="8" t="n">
        <v>76.3</v>
      </c>
      <c r="L14" s="8" t="n">
        <v>82.7</v>
      </c>
      <c r="M14" s="8" t="n">
        <v>83.40000000000001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170.5</v>
      </c>
      <c r="C16" s="8" t="n">
        <v>175.1</v>
      </c>
      <c r="D16" s="8" t="n">
        <v>276.9</v>
      </c>
      <c r="E16" s="8" t="n">
        <v>292.4</v>
      </c>
      <c r="F16" s="8" t="n">
        <v>395.6</v>
      </c>
      <c r="G16" s="8" t="n">
        <v>393.3</v>
      </c>
      <c r="H16" s="8" t="n">
        <v>423.4</v>
      </c>
      <c r="I16" s="8" t="n">
        <v>350</v>
      </c>
      <c r="J16" s="8" t="n">
        <v>291.3</v>
      </c>
      <c r="K16" s="8" t="n">
        <v>289.8</v>
      </c>
      <c r="L16" s="8" t="n">
        <v>151.3</v>
      </c>
      <c r="M16" s="8" t="n">
        <v>175.4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4</v>
      </c>
      <c r="D17" s="10" t="n">
        <v>12</v>
      </c>
      <c r="E17" s="10" t="n">
        <v>5</v>
      </c>
      <c r="F17" s="10" t="n">
        <v>4</v>
      </c>
      <c r="G17" s="10" t="n">
        <v>9</v>
      </c>
      <c r="H17" s="10" t="n">
        <v>15</v>
      </c>
      <c r="I17" s="10" t="n">
        <v>11</v>
      </c>
      <c r="J17" s="10" t="n">
        <v>1</v>
      </c>
      <c r="K17" s="10" t="n">
        <v>7</v>
      </c>
      <c r="L17" s="10" t="n">
        <v>3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9</v>
      </c>
      <c r="C18" s="10" t="n">
        <v>10</v>
      </c>
      <c r="D18" s="10" t="n">
        <v>9</v>
      </c>
      <c r="E18" s="10" t="n">
        <v>9</v>
      </c>
      <c r="F18" s="10" t="n">
        <v>5</v>
      </c>
      <c r="G18" s="10" t="n">
        <v>4</v>
      </c>
      <c r="H18" s="10" t="n">
        <v>2</v>
      </c>
      <c r="I18" s="10" t="n">
        <v>6</v>
      </c>
      <c r="J18" s="10" t="n">
        <v>7</v>
      </c>
      <c r="K18" s="10" t="n">
        <v>5</v>
      </c>
      <c r="L18" s="10" t="n">
        <v>15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39.5</v>
      </c>
      <c r="C20" s="8" t="n">
        <v>49</v>
      </c>
      <c r="D20" s="8" t="n">
        <v>34.3</v>
      </c>
      <c r="E20" s="8" t="n">
        <v>30.7</v>
      </c>
      <c r="F20" s="8" t="n">
        <v>56.2</v>
      </c>
      <c r="G20" s="8" t="n">
        <v>93</v>
      </c>
      <c r="H20" s="8" t="n">
        <v>30.3</v>
      </c>
      <c r="I20" s="8" t="n">
        <v>112.1</v>
      </c>
      <c r="J20" s="8" t="n">
        <v>79.59999999999999</v>
      </c>
      <c r="K20" s="8" t="n">
        <v>22.4</v>
      </c>
      <c r="L20" s="8" t="n">
        <v>109</v>
      </c>
      <c r="M20" s="8" t="n">
        <v>66</v>
      </c>
      <c r="N20" s="9">
        <f>SUM(B20:M20)</f>
        <v/>
      </c>
    </row>
    <row r="21">
      <c r="A21" s="7" t="inlineStr">
        <is>
          <t>Max. dnevna suma</t>
        </is>
      </c>
      <c r="B21" s="8" t="n">
        <v>16.1</v>
      </c>
      <c r="C21" s="8" t="n">
        <v>7</v>
      </c>
      <c r="D21" s="8" t="n">
        <v>10</v>
      </c>
      <c r="E21" s="8" t="n">
        <v>8.9</v>
      </c>
      <c r="F21" s="8" t="n">
        <v>19.6</v>
      </c>
      <c r="G21" s="8" t="n">
        <v>23.8</v>
      </c>
      <c r="H21" s="8" t="n">
        <v>8.9</v>
      </c>
      <c r="I21" s="8" t="n">
        <v>35</v>
      </c>
      <c r="J21" s="8" t="n">
        <v>28</v>
      </c>
      <c r="K21" s="8" t="n">
        <v>13.5</v>
      </c>
      <c r="L21" s="8" t="n">
        <v>35</v>
      </c>
      <c r="M21" s="8" t="n">
        <v>11.3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16</v>
      </c>
      <c r="D22" s="10" t="n">
        <v>12</v>
      </c>
      <c r="E22" s="10" t="n">
        <v>19</v>
      </c>
      <c r="F22" s="10" t="n">
        <v>9</v>
      </c>
      <c r="G22" s="10" t="n">
        <v>20</v>
      </c>
      <c r="H22" s="10" t="n">
        <v>10</v>
      </c>
      <c r="I22" s="10" t="n">
        <v>16</v>
      </c>
      <c r="J22" s="10" t="n">
        <v>19</v>
      </c>
      <c r="K22" s="10" t="n">
        <v>7</v>
      </c>
      <c r="L22" s="10" t="n">
        <v>18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0</v>
      </c>
      <c r="D23" s="10" t="n">
        <v>1</v>
      </c>
      <c r="E23" s="10" t="n">
        <v>0</v>
      </c>
      <c r="F23" s="10" t="n">
        <v>3</v>
      </c>
      <c r="G23" s="10" t="n">
        <v>2</v>
      </c>
      <c r="H23" s="10" t="n">
        <v>0</v>
      </c>
      <c r="I23" s="10" t="n">
        <v>3</v>
      </c>
      <c r="J23" s="10" t="n">
        <v>2</v>
      </c>
      <c r="K23" s="10" t="n">
        <v>1</v>
      </c>
      <c r="L23" s="10" t="n">
        <v>3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14</v>
      </c>
      <c r="C25" s="10" t="n">
        <v>7</v>
      </c>
      <c r="D25" s="10" t="n">
        <v>8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14</v>
      </c>
      <c r="C26" s="10" t="n">
        <v>7</v>
      </c>
      <c r="D26" s="10" t="n">
        <v>8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2023.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4.3</v>
      </c>
      <c r="C6" s="8" t="n">
        <v>3.3</v>
      </c>
      <c r="D6" s="8" t="n">
        <v>8.199999999999999</v>
      </c>
      <c r="E6" s="8" t="n">
        <v>10</v>
      </c>
      <c r="F6" s="8" t="n">
        <v>16.1</v>
      </c>
      <c r="G6" s="8" t="n">
        <v>19.7</v>
      </c>
      <c r="H6" s="8" t="n">
        <v>24.1</v>
      </c>
      <c r="I6" s="8" t="n">
        <v>23.1</v>
      </c>
      <c r="J6" s="8" t="n">
        <v>20.5</v>
      </c>
      <c r="K6" s="8" t="n">
        <v>16.2</v>
      </c>
      <c r="L6" s="8" t="n">
        <v>8.6</v>
      </c>
      <c r="M6" s="8" t="n">
        <v>4.8</v>
      </c>
      <c r="N6" s="9">
        <f>AVERAGE(B6:M6)</f>
        <v/>
      </c>
    </row>
    <row r="7">
      <c r="A7" s="7" t="inlineStr">
        <is>
          <t>Srednja maksimalna</t>
        </is>
      </c>
      <c r="B7" s="8" t="n">
        <v>8.199999999999999</v>
      </c>
      <c r="C7" s="8" t="n">
        <v>9.300000000000001</v>
      </c>
      <c r="D7" s="8" t="n">
        <v>14.4</v>
      </c>
      <c r="E7" s="8" t="n">
        <v>15.1</v>
      </c>
      <c r="F7" s="8" t="n">
        <v>21.2</v>
      </c>
      <c r="G7" s="8" t="n">
        <v>24.3</v>
      </c>
      <c r="H7" s="8" t="n">
        <v>30.6</v>
      </c>
      <c r="I7" s="8" t="n">
        <v>29.2</v>
      </c>
      <c r="J7" s="8" t="n">
        <v>26.8</v>
      </c>
      <c r="K7" s="8" t="n">
        <v>23</v>
      </c>
      <c r="L7" s="8" t="n">
        <v>13.7</v>
      </c>
      <c r="M7" s="8" t="n">
        <v>9.699999999999999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1.1</v>
      </c>
      <c r="C8" s="8" t="n">
        <v>-1.2</v>
      </c>
      <c r="D8" s="8" t="n">
        <v>3</v>
      </c>
      <c r="E8" s="8" t="n">
        <v>5.1</v>
      </c>
      <c r="F8" s="8" t="n">
        <v>11.5</v>
      </c>
      <c r="G8" s="8" t="n">
        <v>15.2</v>
      </c>
      <c r="H8" s="8" t="n">
        <v>18</v>
      </c>
      <c r="I8" s="8" t="n">
        <v>17.4</v>
      </c>
      <c r="J8" s="8" t="n">
        <v>15.4</v>
      </c>
      <c r="K8" s="8" t="n">
        <v>10.9</v>
      </c>
      <c r="L8" s="8" t="n">
        <v>4.4</v>
      </c>
      <c r="M8" s="8" t="n">
        <v>1.2</v>
      </c>
      <c r="N8" s="9">
        <f>AVERAGE(B8:M8)</f>
        <v/>
      </c>
    </row>
    <row r="9">
      <c r="A9" s="7" t="inlineStr">
        <is>
          <t>Apsolutni maksimum</t>
        </is>
      </c>
      <c r="B9" s="8" t="n">
        <v>16.2</v>
      </c>
      <c r="C9" s="8" t="n">
        <v>18.3</v>
      </c>
      <c r="D9" s="8" t="n">
        <v>22.6</v>
      </c>
      <c r="E9" s="8" t="n">
        <v>22.4</v>
      </c>
      <c r="F9" s="8" t="n">
        <v>25.1</v>
      </c>
      <c r="G9" s="8" t="n">
        <v>32.2</v>
      </c>
      <c r="H9" s="8" t="n">
        <v>38.8</v>
      </c>
      <c r="I9" s="8" t="n">
        <v>36</v>
      </c>
      <c r="J9" s="8" t="n">
        <v>34</v>
      </c>
      <c r="K9" s="8" t="n">
        <v>28.5</v>
      </c>
      <c r="L9" s="8" t="n">
        <v>22</v>
      </c>
      <c r="M9" s="8" t="n">
        <v>20.7</v>
      </c>
      <c r="N9" s="9">
        <f>MAX(B9:M9)</f>
        <v/>
      </c>
    </row>
    <row r="10">
      <c r="A10" s="7" t="inlineStr">
        <is>
          <t>Apsolutni minimum</t>
        </is>
      </c>
      <c r="B10" s="8" t="n">
        <v>-2.6</v>
      </c>
      <c r="C10" s="8" t="n">
        <v>-7.3</v>
      </c>
      <c r="D10" s="8" t="n">
        <v>-3.4</v>
      </c>
      <c r="E10" s="8" t="n">
        <v>-0.2</v>
      </c>
      <c r="F10" s="8" t="n">
        <v>7</v>
      </c>
      <c r="G10" s="8" t="n">
        <v>10.5</v>
      </c>
      <c r="H10" s="8" t="n">
        <v>11.5</v>
      </c>
      <c r="I10" s="8" t="n">
        <v>10.5</v>
      </c>
      <c r="J10" s="8" t="n">
        <v>10.3</v>
      </c>
      <c r="K10" s="8" t="n">
        <v>3.7</v>
      </c>
      <c r="L10" s="8" t="n">
        <v>-3</v>
      </c>
      <c r="M10" s="8" t="n">
        <v>-3.7</v>
      </c>
      <c r="N10" s="9">
        <f>MIN(B10:M10)</f>
        <v/>
      </c>
    </row>
    <row r="11">
      <c r="A11" s="7" t="inlineStr">
        <is>
          <t>Sr. br. mraznih dana</t>
        </is>
      </c>
      <c r="B11" s="10" t="n">
        <v>13</v>
      </c>
      <c r="C11" s="10" t="n">
        <v>14</v>
      </c>
      <c r="D11" s="10" t="n">
        <v>8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3</v>
      </c>
      <c r="H12" s="10" t="n">
        <v>17</v>
      </c>
      <c r="I12" s="10" t="n">
        <v>14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</v>
      </c>
      <c r="C14" s="8" t="n">
        <v>71.3</v>
      </c>
      <c r="D14" s="8" t="n">
        <v>69.3</v>
      </c>
      <c r="E14" s="8" t="n">
        <v>71.59999999999999</v>
      </c>
      <c r="F14" s="8" t="n">
        <v>76.2</v>
      </c>
      <c r="G14" s="8" t="n">
        <v>80</v>
      </c>
      <c r="H14" s="8" t="n">
        <v>69.90000000000001</v>
      </c>
      <c r="I14" s="8" t="n">
        <v>70.3</v>
      </c>
      <c r="J14" s="8" t="n">
        <v>69.2</v>
      </c>
      <c r="K14" s="8" t="n">
        <v>70.40000000000001</v>
      </c>
      <c r="L14" s="8" t="n">
        <v>79.59999999999999</v>
      </c>
      <c r="M14" s="8" t="n">
        <v>81.40000000000001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130.7</v>
      </c>
      <c r="C16" s="8" t="n">
        <v>189.6</v>
      </c>
      <c r="D16" s="8" t="n">
        <v>265.9</v>
      </c>
      <c r="E16" s="8" t="n">
        <v>244.5</v>
      </c>
      <c r="F16" s="8" t="n">
        <v>302.6</v>
      </c>
      <c r="G16" s="8" t="n">
        <v>290.8</v>
      </c>
      <c r="H16" s="8" t="n">
        <v>422.8</v>
      </c>
      <c r="I16" s="8" t="n">
        <v>387.1</v>
      </c>
      <c r="J16" s="8" t="n">
        <v>325.4</v>
      </c>
      <c r="K16" s="8" t="n">
        <v>284.2</v>
      </c>
      <c r="L16" s="8" t="n">
        <v>160.3</v>
      </c>
      <c r="M16" s="8" t="n">
        <v>173</v>
      </c>
      <c r="N16" s="9">
        <f>SUM(B16:M16)</f>
        <v/>
      </c>
    </row>
    <row r="17">
      <c r="A17" s="7" t="inlineStr">
        <is>
          <t>Broj vedrih dana</t>
        </is>
      </c>
      <c r="B17" s="10" t="n">
        <v>0</v>
      </c>
      <c r="C17" s="10" t="n">
        <v>5</v>
      </c>
      <c r="D17" s="10" t="n">
        <v>1</v>
      </c>
      <c r="E17" s="10" t="n">
        <v>0</v>
      </c>
      <c r="F17" s="10" t="n">
        <v>3</v>
      </c>
      <c r="G17" s="10" t="n">
        <v>3</v>
      </c>
      <c r="H17" s="10" t="n">
        <v>14</v>
      </c>
      <c r="I17" s="10" t="n">
        <v>13</v>
      </c>
      <c r="J17" s="10" t="n">
        <v>11</v>
      </c>
      <c r="K17" s="10" t="n">
        <v>6</v>
      </c>
      <c r="L17" s="10" t="n">
        <v>0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19</v>
      </c>
      <c r="C18" s="10" t="n">
        <v>12</v>
      </c>
      <c r="D18" s="10" t="n">
        <v>13</v>
      </c>
      <c r="E18" s="10" t="n">
        <v>11</v>
      </c>
      <c r="F18" s="10" t="n">
        <v>14</v>
      </c>
      <c r="G18" s="10" t="n">
        <v>17</v>
      </c>
      <c r="H18" s="10" t="n">
        <v>0</v>
      </c>
      <c r="I18" s="10" t="n">
        <v>0</v>
      </c>
      <c r="J18" s="10" t="n">
        <v>3</v>
      </c>
      <c r="K18" s="10" t="n">
        <v>4</v>
      </c>
      <c r="L18" s="10" t="n">
        <v>10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79.3</v>
      </c>
      <c r="C20" s="8" t="n">
        <v>28</v>
      </c>
      <c r="D20" s="8" t="n">
        <v>41.1</v>
      </c>
      <c r="E20" s="8" t="n">
        <v>94.7</v>
      </c>
      <c r="F20" s="8" t="n">
        <v>97.3</v>
      </c>
      <c r="G20" s="8" t="n">
        <v>190.5</v>
      </c>
      <c r="H20" s="8" t="n">
        <v>63.4</v>
      </c>
      <c r="I20" s="8" t="n">
        <v>66.09999999999999</v>
      </c>
      <c r="J20" s="8" t="n">
        <v>75.3</v>
      </c>
      <c r="K20" s="8" t="n">
        <v>33.5</v>
      </c>
      <c r="L20" s="8" t="n">
        <v>148.5</v>
      </c>
      <c r="M20" s="8" t="n">
        <v>37.4</v>
      </c>
      <c r="N20" s="9">
        <f>SUM(B20:M20)</f>
        <v/>
      </c>
    </row>
    <row r="21">
      <c r="A21" s="7" t="inlineStr">
        <is>
          <t>Max. dnevna suma</t>
        </is>
      </c>
      <c r="B21" s="8" t="n">
        <v>20</v>
      </c>
      <c r="C21" s="8" t="n">
        <v>10.7</v>
      </c>
      <c r="D21" s="8" t="n">
        <v>9</v>
      </c>
      <c r="E21" s="8" t="n">
        <v>25.2</v>
      </c>
      <c r="F21" s="8" t="n">
        <v>16.1</v>
      </c>
      <c r="G21" s="8" t="n">
        <v>32.4</v>
      </c>
      <c r="H21" s="8" t="n">
        <v>13.1</v>
      </c>
      <c r="I21" s="8" t="n">
        <v>34</v>
      </c>
      <c r="J21" s="8" t="n">
        <v>37.6</v>
      </c>
      <c r="K21" s="8" t="n">
        <v>12</v>
      </c>
      <c r="L21" s="8" t="n">
        <v>28.5</v>
      </c>
      <c r="M21" s="8" t="n">
        <v>17.1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12</v>
      </c>
      <c r="D22" s="10" t="n">
        <v>18</v>
      </c>
      <c r="E22" s="10" t="n">
        <v>24</v>
      </c>
      <c r="F22" s="10" t="n">
        <v>24</v>
      </c>
      <c r="G22" s="10" t="n">
        <v>25</v>
      </c>
      <c r="H22" s="10" t="n">
        <v>15</v>
      </c>
      <c r="I22" s="10" t="n">
        <v>14</v>
      </c>
      <c r="J22" s="10" t="n">
        <v>13</v>
      </c>
      <c r="K22" s="10" t="n">
        <v>10</v>
      </c>
      <c r="L22" s="10" t="n">
        <v>19</v>
      </c>
      <c r="M22" s="10" t="n">
        <v>12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1</v>
      </c>
      <c r="D23" s="10" t="n">
        <v>0</v>
      </c>
      <c r="E23" s="10" t="n">
        <v>2</v>
      </c>
      <c r="F23" s="10" t="n">
        <v>1</v>
      </c>
      <c r="G23" s="10" t="n">
        <v>6</v>
      </c>
      <c r="H23" s="10" t="n">
        <v>3</v>
      </c>
      <c r="I23" s="10" t="n">
        <v>2</v>
      </c>
      <c r="J23" s="10" t="n">
        <v>2</v>
      </c>
      <c r="K23" s="10" t="n">
        <v>1</v>
      </c>
      <c r="L23" s="10" t="n">
        <v>4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9</v>
      </c>
      <c r="C25" s="10" t="n">
        <v>5</v>
      </c>
      <c r="D25" s="10" t="n">
        <v>1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9</v>
      </c>
      <c r="C26" s="10" t="n">
        <v>5</v>
      </c>
      <c r="D26" s="10" t="n">
        <v>1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2024.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2.3</v>
      </c>
      <c r="C6" s="8" t="n">
        <v>7.9</v>
      </c>
      <c r="D6" s="8" t="n">
        <v>10.3</v>
      </c>
      <c r="E6" s="8" t="n">
        <v>14.3</v>
      </c>
      <c r="F6" s="8" t="n">
        <v>17</v>
      </c>
      <c r="G6" s="8" t="n">
        <v>23.5</v>
      </c>
      <c r="H6" s="8" t="n">
        <v>25.7</v>
      </c>
      <c r="I6" s="8" t="n">
        <v>25.5</v>
      </c>
      <c r="J6" s="8" t="n">
        <v>19</v>
      </c>
      <c r="K6" s="8" t="n">
        <v>13.5</v>
      </c>
      <c r="L6" s="8" t="n">
        <v>5.1</v>
      </c>
      <c r="M6" s="8" t="n">
        <v>3</v>
      </c>
      <c r="N6" s="9">
        <f>AVERAGE(B6:M6)</f>
        <v/>
      </c>
    </row>
    <row r="7">
      <c r="A7" s="7" t="inlineStr">
        <is>
          <t>Srednja maksimalna</t>
        </is>
      </c>
      <c r="B7" s="8" t="n">
        <v>7.5</v>
      </c>
      <c r="C7" s="8" t="n">
        <v>14.5</v>
      </c>
      <c r="D7" s="8" t="n">
        <v>16.6</v>
      </c>
      <c r="E7" s="8" t="n">
        <v>21.1</v>
      </c>
      <c r="F7" s="8" t="n">
        <v>22.7</v>
      </c>
      <c r="G7" s="8" t="n">
        <v>30.1</v>
      </c>
      <c r="H7" s="8" t="n">
        <v>32.3</v>
      </c>
      <c r="I7" s="8" t="n">
        <v>32.6</v>
      </c>
      <c r="J7" s="8" t="n">
        <v>25.5</v>
      </c>
      <c r="K7" s="8" t="n">
        <v>20.2</v>
      </c>
      <c r="L7" s="8" t="n">
        <v>10.9</v>
      </c>
      <c r="M7" s="8" t="n">
        <v>7.2</v>
      </c>
      <c r="N7" s="9">
        <f>AVERAGE(B7:M7)</f>
        <v/>
      </c>
    </row>
    <row r="8">
      <c r="A8" s="7" t="inlineStr">
        <is>
          <t>Srednja minimalna</t>
        </is>
      </c>
      <c r="B8" s="8" t="n">
        <v>-1.6</v>
      </c>
      <c r="C8" s="8" t="n">
        <v>3.1</v>
      </c>
      <c r="D8" s="8" t="n">
        <v>5.1</v>
      </c>
      <c r="E8" s="8" t="n">
        <v>8.1</v>
      </c>
      <c r="F8" s="8" t="n">
        <v>11.9</v>
      </c>
      <c r="G8" s="8" t="n">
        <v>17.3</v>
      </c>
      <c r="H8" s="8" t="n">
        <v>19.2</v>
      </c>
      <c r="I8" s="8" t="n">
        <v>18.9</v>
      </c>
      <c r="J8" s="8" t="n">
        <v>13.5</v>
      </c>
      <c r="K8" s="8" t="n">
        <v>8.300000000000001</v>
      </c>
      <c r="L8" s="8" t="n">
        <v>1</v>
      </c>
      <c r="M8" s="8" t="n">
        <v>0.1</v>
      </c>
      <c r="N8" s="9">
        <f>AVERAGE(B8:M8)</f>
        <v/>
      </c>
    </row>
    <row r="9">
      <c r="A9" s="7" t="inlineStr">
        <is>
          <t>Apsolutni maksimum</t>
        </is>
      </c>
      <c r="B9" s="8" t="n">
        <v>16.9</v>
      </c>
      <c r="C9" s="8" t="n">
        <v>19.7</v>
      </c>
      <c r="D9" s="8" t="n">
        <v>27.4</v>
      </c>
      <c r="E9" s="8" t="n">
        <v>32.2</v>
      </c>
      <c r="F9" s="8" t="n">
        <v>26.8</v>
      </c>
      <c r="G9" s="8" t="n">
        <v>35.2</v>
      </c>
      <c r="H9" s="8" t="n">
        <v>38.4</v>
      </c>
      <c r="I9" s="8" t="n">
        <v>39.1</v>
      </c>
      <c r="J9" s="8" t="n">
        <v>34</v>
      </c>
      <c r="K9" s="8" t="n">
        <v>27.4</v>
      </c>
      <c r="L9" s="8" t="n">
        <v>19.1</v>
      </c>
      <c r="M9" s="8" t="n">
        <v>12.3</v>
      </c>
      <c r="N9" s="9">
        <f>MAX(B9:M9)</f>
        <v/>
      </c>
    </row>
    <row r="10">
      <c r="A10" s="7" t="inlineStr">
        <is>
          <t>Apsolutni minimum</t>
        </is>
      </c>
      <c r="B10" s="8" t="n">
        <v>-7.6</v>
      </c>
      <c r="C10" s="8" t="n">
        <v>-5</v>
      </c>
      <c r="D10" s="8" t="n">
        <v>-0.9</v>
      </c>
      <c r="E10" s="8" t="n">
        <v>1.3</v>
      </c>
      <c r="F10" s="8" t="n">
        <v>8.6</v>
      </c>
      <c r="G10" s="8" t="n">
        <v>11.1</v>
      </c>
      <c r="H10" s="8" t="n">
        <v>13.3</v>
      </c>
      <c r="I10" s="8" t="n">
        <v>14.1</v>
      </c>
      <c r="J10" s="8" t="n">
        <v>7.3</v>
      </c>
      <c r="K10" s="8" t="n">
        <v>4.3</v>
      </c>
      <c r="L10" s="8" t="n">
        <v>-4.1</v>
      </c>
      <c r="M10" s="8" t="n">
        <v>-3.4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6</v>
      </c>
      <c r="D11" s="10" t="n">
        <v>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11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1</v>
      </c>
      <c r="F12" s="10" t="n">
        <v>0</v>
      </c>
      <c r="G12" s="10" t="n">
        <v>16</v>
      </c>
      <c r="H12" s="10" t="n">
        <v>21</v>
      </c>
      <c r="I12" s="10" t="n">
        <v>24</v>
      </c>
      <c r="J12" s="10" t="n">
        <v>9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77.8</v>
      </c>
      <c r="C14" s="8" t="n">
        <v>72.2</v>
      </c>
      <c r="D14" s="8" t="n">
        <v>70.90000000000001</v>
      </c>
      <c r="E14" s="8" t="n">
        <v>64.3</v>
      </c>
      <c r="F14" s="8" t="n">
        <v>73.3</v>
      </c>
      <c r="G14" s="8" t="n">
        <v>68.59999999999999</v>
      </c>
      <c r="H14" s="8" t="n">
        <v>58.9</v>
      </c>
      <c r="I14" s="8" t="n">
        <v>56.5</v>
      </c>
      <c r="J14" s="8" t="n">
        <v>66.2</v>
      </c>
      <c r="K14" s="8" t="n">
        <v>74.09999999999999</v>
      </c>
      <c r="L14" s="8" t="n">
        <v>76.90000000000001</v>
      </c>
      <c r="M14" s="8" t="n">
        <v>84.8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173.2</v>
      </c>
      <c r="C16" s="8" t="n">
        <v>213.3</v>
      </c>
      <c r="D16" s="8" t="n">
        <v>276.3</v>
      </c>
      <c r="E16" s="8" t="n">
        <v>313.8</v>
      </c>
      <c r="F16" s="8" t="n">
        <v>367.1</v>
      </c>
      <c r="G16" s="8" t="n">
        <v>417</v>
      </c>
      <c r="H16" s="8" t="n">
        <v>428.6</v>
      </c>
      <c r="I16" s="8" t="n">
        <v>393</v>
      </c>
      <c r="J16" s="8" t="n">
        <v>274.6</v>
      </c>
      <c r="K16" s="8" t="n">
        <v>266.2</v>
      </c>
      <c r="L16" s="8" t="n">
        <v>191</v>
      </c>
      <c r="M16" s="8" t="n">
        <v>138.8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4</v>
      </c>
      <c r="D17" s="10" t="n">
        <v>2</v>
      </c>
      <c r="E17" s="10" t="n">
        <v>5</v>
      </c>
      <c r="F17" s="10" t="n">
        <v>2</v>
      </c>
      <c r="G17" s="10" t="n">
        <v>7</v>
      </c>
      <c r="H17" s="10" t="n">
        <v>18</v>
      </c>
      <c r="I17" s="10" t="n">
        <v>8</v>
      </c>
      <c r="J17" s="10" t="n">
        <v>8</v>
      </c>
      <c r="K17" s="10" t="n">
        <v>7</v>
      </c>
      <c r="L17" s="10" t="n">
        <v>4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12</v>
      </c>
      <c r="D18" s="10" t="n">
        <v>9</v>
      </c>
      <c r="E18" s="10" t="n">
        <v>7</v>
      </c>
      <c r="F18" s="10" t="n">
        <v>10</v>
      </c>
      <c r="G18" s="10" t="n">
        <v>1</v>
      </c>
      <c r="H18" s="10" t="n">
        <v>1</v>
      </c>
      <c r="I18" s="10" t="n">
        <v>1</v>
      </c>
      <c r="J18" s="10" t="n">
        <v>8</v>
      </c>
      <c r="K18" s="10" t="n">
        <v>5</v>
      </c>
      <c r="L18" s="10" t="n">
        <v>10</v>
      </c>
      <c r="M18" s="10" t="n">
        <v>19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51.1</v>
      </c>
      <c r="C20" s="8" t="n">
        <v>13</v>
      </c>
      <c r="D20" s="8" t="n">
        <v>45.6</v>
      </c>
      <c r="E20" s="8" t="n">
        <v>33</v>
      </c>
      <c r="F20" s="8" t="n">
        <v>109.6</v>
      </c>
      <c r="G20" s="8" t="n">
        <v>41.5</v>
      </c>
      <c r="H20" s="8" t="n">
        <v>38.8</v>
      </c>
      <c r="I20" s="8" t="n">
        <v>15.6</v>
      </c>
      <c r="J20" s="8" t="n">
        <v>95.59999999999999</v>
      </c>
      <c r="K20" s="8" t="n">
        <v>7.2</v>
      </c>
      <c r="L20" s="8" t="n">
        <v>87.90000000000001</v>
      </c>
      <c r="M20" s="8" t="n">
        <v>76.59999999999999</v>
      </c>
      <c r="N20" s="9">
        <f>SUM(B20:M20)</f>
        <v/>
      </c>
    </row>
    <row r="21">
      <c r="A21" s="7" t="inlineStr">
        <is>
          <t>Max. dnevna suma</t>
        </is>
      </c>
      <c r="B21" s="8" t="n">
        <v>8.1</v>
      </c>
      <c r="C21" s="8" t="n">
        <v>4.6</v>
      </c>
      <c r="D21" s="8" t="n">
        <v>8.4</v>
      </c>
      <c r="E21" s="8" t="n">
        <v>10.9</v>
      </c>
      <c r="F21" s="8" t="n">
        <v>17.4</v>
      </c>
      <c r="G21" s="8" t="n">
        <v>13.9</v>
      </c>
      <c r="H21" s="8" t="n">
        <v>19.9</v>
      </c>
      <c r="I21" s="8" t="n">
        <v>8.800000000000001</v>
      </c>
      <c r="J21" s="8" t="n">
        <v>47.1</v>
      </c>
      <c r="K21" s="8" t="n">
        <v>3.5</v>
      </c>
      <c r="L21" s="8" t="n">
        <v>21.5</v>
      </c>
      <c r="M21" s="8" t="n">
        <v>16.7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8</v>
      </c>
      <c r="D22" s="10" t="n">
        <v>17</v>
      </c>
      <c r="E22" s="10" t="n">
        <v>14</v>
      </c>
      <c r="F22" s="10" t="n">
        <v>23</v>
      </c>
      <c r="G22" s="10" t="n">
        <v>17</v>
      </c>
      <c r="H22" s="10" t="n">
        <v>13</v>
      </c>
      <c r="I22" s="10" t="n">
        <v>9</v>
      </c>
      <c r="J22" s="10" t="n">
        <v>13</v>
      </c>
      <c r="K22" s="10" t="n">
        <v>7</v>
      </c>
      <c r="L22" s="10" t="n">
        <v>13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0</v>
      </c>
      <c r="D23" s="10" t="n">
        <v>0</v>
      </c>
      <c r="E23" s="10" t="n">
        <v>1</v>
      </c>
      <c r="F23" s="10" t="n">
        <v>3</v>
      </c>
      <c r="G23" s="10" t="n">
        <v>2</v>
      </c>
      <c r="H23" s="10" t="n">
        <v>1</v>
      </c>
      <c r="I23" s="10" t="n">
        <v>0</v>
      </c>
      <c r="J23" s="10" t="n">
        <v>2</v>
      </c>
      <c r="K23" s="10" t="n">
        <v>0</v>
      </c>
      <c r="L23" s="10" t="n">
        <v>5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6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6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2025. GODINU</t>
        </is>
      </c>
    </row>
    <row r="2">
      <c r="A2" s="2" t="inlineStr">
        <is>
          <t>KRUŠEVAC  φ 43.58°N  λ 21.32°E  h 166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2.4</v>
      </c>
      <c r="C6" s="8" t="n">
        <v>1</v>
      </c>
      <c r="D6" s="8" t="n">
        <v>9.699999999999999</v>
      </c>
      <c r="E6" s="8" t="n">
        <v>12.7</v>
      </c>
      <c r="F6" s="8" t="n">
        <v>15.2</v>
      </c>
      <c r="G6" s="8" t="n">
        <v>22.9</v>
      </c>
      <c r="H6" s="8" t="n">
        <v>24.1</v>
      </c>
      <c r="I6" s="8" t="n">
        <v>23.1</v>
      </c>
      <c r="J6" s="8" t="n">
        <v>19.3</v>
      </c>
      <c r="K6" s="8" t="n">
        <v>11</v>
      </c>
      <c r="L6" s="8" t="n">
        <v>8.1</v>
      </c>
      <c r="M6" s="8" t="n">
        <v>3</v>
      </c>
      <c r="N6" s="9">
        <f>AVERAGE(B6:M6)</f>
        <v/>
      </c>
    </row>
    <row r="7">
      <c r="A7" s="7" t="inlineStr">
        <is>
          <t>Srednja maksimalna</t>
        </is>
      </c>
      <c r="B7" s="8" t="n">
        <v>8.699999999999999</v>
      </c>
      <c r="C7" s="8" t="n">
        <v>7.2</v>
      </c>
      <c r="D7" s="8" t="n">
        <v>17.2</v>
      </c>
      <c r="E7" s="8" t="n">
        <v>18.7</v>
      </c>
      <c r="F7" s="8" t="n">
        <v>21.3</v>
      </c>
      <c r="G7" s="8" t="n">
        <v>30</v>
      </c>
      <c r="H7" s="8" t="n">
        <v>31</v>
      </c>
      <c r="I7" s="8" t="n">
        <v>30.3</v>
      </c>
      <c r="J7" s="8" t="n">
        <v>26.1</v>
      </c>
      <c r="K7" s="8" t="n">
        <v>16.4</v>
      </c>
      <c r="L7" s="8" t="n">
        <v>13.2</v>
      </c>
      <c r="M7" s="8" t="n">
        <v>7.5</v>
      </c>
      <c r="N7" s="9">
        <f>AVERAGE(B7:M7)</f>
        <v/>
      </c>
    </row>
    <row r="8">
      <c r="A8" s="7" t="inlineStr">
        <is>
          <t>Srednja minimalna</t>
        </is>
      </c>
      <c r="B8" s="8" t="n">
        <v>-1.6</v>
      </c>
      <c r="C8" s="8" t="n">
        <v>-3.1</v>
      </c>
      <c r="D8" s="8" t="n">
        <v>4.5</v>
      </c>
      <c r="E8" s="8" t="n">
        <v>7.3</v>
      </c>
      <c r="F8" s="8" t="n">
        <v>9.4</v>
      </c>
      <c r="G8" s="8" t="n">
        <v>15.2</v>
      </c>
      <c r="H8" s="8" t="n">
        <v>17.4</v>
      </c>
      <c r="I8" s="8" t="n">
        <v>16.5</v>
      </c>
      <c r="J8" s="8" t="n">
        <v>13.9</v>
      </c>
      <c r="K8" s="8" t="n">
        <v>6.7</v>
      </c>
      <c r="L8" s="8" t="n">
        <v>4.3</v>
      </c>
      <c r="M8" s="8" t="n">
        <v>0</v>
      </c>
      <c r="N8" s="9">
        <f>AVERAGE(B8:M8)</f>
        <v/>
      </c>
    </row>
    <row r="9">
      <c r="A9" s="7" t="inlineStr">
        <is>
          <t>Apsolutni maksimum</t>
        </is>
      </c>
      <c r="B9" s="8" t="n">
        <v>19.4</v>
      </c>
      <c r="C9" s="8" t="n">
        <v>17.5</v>
      </c>
      <c r="D9" s="8" t="n">
        <v>29.1</v>
      </c>
      <c r="E9" s="8" t="n">
        <v>27.6</v>
      </c>
      <c r="F9" s="8" t="n">
        <v>27.1</v>
      </c>
      <c r="G9" s="8" t="n">
        <v>36.8</v>
      </c>
      <c r="H9" s="8" t="n">
        <v>40.1</v>
      </c>
      <c r="I9" s="8" t="n">
        <v>37.4</v>
      </c>
      <c r="J9" s="8" t="n">
        <v>31.5</v>
      </c>
      <c r="K9" s="8" t="n">
        <v>23.6</v>
      </c>
      <c r="L9" s="8" t="n">
        <v>23.1</v>
      </c>
      <c r="M9" s="8" t="n">
        <v>12.1</v>
      </c>
      <c r="N9" s="9">
        <f>MAX(B9:M9)</f>
        <v/>
      </c>
    </row>
    <row r="10">
      <c r="A10" s="7" t="inlineStr">
        <is>
          <t>Apsolutni minimum</t>
        </is>
      </c>
      <c r="B10" s="8" t="n">
        <v>-10.1</v>
      </c>
      <c r="C10" s="8" t="n">
        <v>-10.9</v>
      </c>
      <c r="D10" s="8" t="n">
        <v>-3.6</v>
      </c>
      <c r="E10" s="8" t="n">
        <v>-1.2</v>
      </c>
      <c r="F10" s="8" t="n">
        <v>4.8</v>
      </c>
      <c r="G10" s="8" t="n">
        <v>10.3</v>
      </c>
      <c r="H10" s="8" t="n">
        <v>12.5</v>
      </c>
      <c r="I10" s="8" t="n">
        <v>10.2</v>
      </c>
      <c r="J10" s="8" t="n">
        <v>7.4</v>
      </c>
      <c r="K10" s="8" t="n">
        <v>1.3</v>
      </c>
      <c r="L10" s="8" t="n">
        <v>-2</v>
      </c>
      <c r="M10" s="8" t="n">
        <v>-5.5</v>
      </c>
      <c r="N10" s="9">
        <f>MIN(B10:M10)</f>
        <v/>
      </c>
    </row>
    <row r="11">
      <c r="A11" s="7" t="inlineStr">
        <is>
          <t>Sr. br. mraznih dana</t>
        </is>
      </c>
      <c r="B11" s="10" t="n">
        <v>20</v>
      </c>
      <c r="C11" s="10" t="n">
        <v>24</v>
      </c>
      <c r="D11" s="10" t="n">
        <v>6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16</v>
      </c>
      <c r="H12" s="10" t="n">
        <v>18</v>
      </c>
      <c r="I12" s="10" t="n">
        <v>16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81.09999999999999</v>
      </c>
      <c r="C14" s="8" t="n">
        <v>71.90000000000001</v>
      </c>
      <c r="D14" s="8" t="n">
        <v>68</v>
      </c>
      <c r="E14" s="8" t="n">
        <v>70.5</v>
      </c>
      <c r="F14" s="8" t="n">
        <v>70.7</v>
      </c>
      <c r="G14" s="8" t="n">
        <v>58.7</v>
      </c>
      <c r="H14" s="8" t="n">
        <v>58.3</v>
      </c>
      <c r="I14" s="8" t="n">
        <v>56.5</v>
      </c>
      <c r="J14" s="8" t="n">
        <v>69.59999999999999</v>
      </c>
      <c r="K14" s="8" t="n">
        <v>78.8</v>
      </c>
      <c r="L14" s="8" t="n">
        <v>83.09999999999999</v>
      </c>
      <c r="M14" s="8" t="n">
        <v>85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201</v>
      </c>
      <c r="C16" s="8" t="n">
        <v>206.9</v>
      </c>
      <c r="D16" s="8" t="n">
        <v>245.8</v>
      </c>
      <c r="E16" s="8" t="n">
        <v>301.4</v>
      </c>
      <c r="F16" s="8" t="n">
        <v>365.3</v>
      </c>
      <c r="G16" s="8" t="n">
        <v>445.3</v>
      </c>
      <c r="H16" s="8" t="n">
        <v>419.1</v>
      </c>
      <c r="I16" s="8" t="n">
        <v>379.8</v>
      </c>
      <c r="J16" s="8" t="n">
        <v>321.2</v>
      </c>
      <c r="K16" s="8" t="n">
        <v>211.1</v>
      </c>
      <c r="L16" s="8" t="n">
        <v>141.8</v>
      </c>
      <c r="M16" s="8" t="n">
        <v>162.5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4</v>
      </c>
      <c r="D17" s="10" t="n">
        <v>8</v>
      </c>
      <c r="E17" s="10" t="n">
        <v>3</v>
      </c>
      <c r="F17" s="10" t="n">
        <v>5</v>
      </c>
      <c r="G17" s="10" t="n">
        <v>24</v>
      </c>
      <c r="H17" s="10" t="n">
        <v>17</v>
      </c>
      <c r="I17" s="10" t="n">
        <v>15</v>
      </c>
      <c r="J17" s="10" t="n">
        <v>9</v>
      </c>
      <c r="K17" s="10" t="n">
        <v>2</v>
      </c>
      <c r="L17" s="10" t="n">
        <v>2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10</v>
      </c>
      <c r="D18" s="10" t="n">
        <v>18</v>
      </c>
      <c r="E18" s="10" t="n">
        <v>7</v>
      </c>
      <c r="F18" s="10" t="n">
        <v>4</v>
      </c>
      <c r="G18" s="10" t="n">
        <v>0</v>
      </c>
      <c r="H18" s="10" t="n">
        <v>0</v>
      </c>
      <c r="I18" s="10" t="n">
        <v>1</v>
      </c>
      <c r="J18" s="10" t="n">
        <v>3</v>
      </c>
      <c r="K18" s="10" t="n">
        <v>11</v>
      </c>
      <c r="L18" s="10" t="n">
        <v>16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17.2</v>
      </c>
      <c r="C20" s="8" t="n">
        <v>13.6</v>
      </c>
      <c r="D20" s="8" t="n">
        <v>83.7</v>
      </c>
      <c r="E20" s="8" t="n">
        <v>52.3</v>
      </c>
      <c r="F20" s="8" t="n">
        <v>69.3</v>
      </c>
      <c r="G20" s="8" t="n">
        <v>1.4</v>
      </c>
      <c r="H20" s="8" t="n">
        <v>36.6</v>
      </c>
      <c r="I20" s="8" t="n">
        <v>29.9</v>
      </c>
      <c r="J20" s="8" t="n">
        <v>47.2</v>
      </c>
      <c r="K20" s="8" t="n">
        <v>135</v>
      </c>
      <c r="L20" s="8" t="n">
        <v>99.90000000000001</v>
      </c>
      <c r="M20" s="8" t="n">
        <v>19.4</v>
      </c>
      <c r="N20" s="9">
        <f>SUM(B20:M20)</f>
        <v/>
      </c>
    </row>
    <row r="21">
      <c r="A21" s="7" t="inlineStr">
        <is>
          <t>Max. dnevna suma</t>
        </is>
      </c>
      <c r="B21" s="8" t="n">
        <v>6.7</v>
      </c>
      <c r="C21" s="8" t="n">
        <v>5.1</v>
      </c>
      <c r="D21" s="8" t="n">
        <v>14.9</v>
      </c>
      <c r="E21" s="8" t="n">
        <v>10.3</v>
      </c>
      <c r="F21" s="8" t="n">
        <v>17.5</v>
      </c>
      <c r="G21" s="8" t="n">
        <v>1</v>
      </c>
      <c r="H21" s="8" t="n">
        <v>11.1</v>
      </c>
      <c r="I21" s="8" t="n">
        <v>11.4</v>
      </c>
      <c r="J21" s="8" t="n">
        <v>13.2</v>
      </c>
      <c r="K21" s="8" t="n">
        <v>51.2</v>
      </c>
      <c r="L21" s="8" t="n">
        <v>24</v>
      </c>
      <c r="M21" s="8" t="n">
        <v>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10</v>
      </c>
      <c r="C22" s="10" t="n">
        <v>10</v>
      </c>
      <c r="D22" s="10" t="n">
        <v>17</v>
      </c>
      <c r="E22" s="10" t="n">
        <v>21</v>
      </c>
      <c r="F22" s="10" t="n">
        <v>18</v>
      </c>
      <c r="G22" s="10" t="n">
        <v>4</v>
      </c>
      <c r="H22" s="10" t="n">
        <v>12</v>
      </c>
      <c r="I22" s="10" t="n">
        <v>8</v>
      </c>
      <c r="J22" s="10" t="n">
        <v>14</v>
      </c>
      <c r="K22" s="10" t="n">
        <v>18</v>
      </c>
      <c r="L22" s="10" t="n">
        <v>18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0</v>
      </c>
      <c r="D23" s="10" t="n">
        <v>3</v>
      </c>
      <c r="E23" s="10" t="n">
        <v>1</v>
      </c>
      <c r="F23" s="10" t="n">
        <v>2</v>
      </c>
      <c r="G23" s="10" t="n">
        <v>0</v>
      </c>
      <c r="H23" s="10" t="n">
        <v>1</v>
      </c>
      <c r="I23" s="10" t="n">
        <v>1</v>
      </c>
      <c r="J23" s="10" t="n">
        <v>2</v>
      </c>
      <c r="K23" s="10" t="n">
        <v>3</v>
      </c>
      <c r="L23" s="10" t="n">
        <v>2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5</v>
      </c>
      <c r="D25" s="10" t="n">
        <v>1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1</v>
      </c>
      <c r="L25" s="10" t="n">
        <v>5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5</v>
      </c>
      <c r="D26" s="10" t="n">
        <v>1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</v>
      </c>
      <c r="L26" s="10" t="n">
        <v>5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2026-08-22T15:20:43Z</dcterms:created>
  <dcterms:modified xmlns:dcterms="http://purl.org/dc/terms/" xmlns:xsi="http://www.w3.org/2001/XMLSchema-instance" xsi:type="dcterms:W3CDTF">2026-08-22T15:20:43Z</dcterms:modified>
</cp:coreProperties>
</file>