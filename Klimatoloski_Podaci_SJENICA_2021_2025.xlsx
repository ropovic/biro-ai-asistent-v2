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ek 2021-2025" sheetId="1" state="visible" r:id="rId1"/>
    <sheet xmlns:r="http://schemas.openxmlformats.org/officeDocument/2006/relationships" name="2021" sheetId="2" state="visible" r:id="rId2"/>
    <sheet xmlns:r="http://schemas.openxmlformats.org/officeDocument/2006/relationships" name="2022" sheetId="3" state="visible" r:id="rId3"/>
    <sheet xmlns:r="http://schemas.openxmlformats.org/officeDocument/2006/relationships" name="2023" sheetId="4" state="visible" r:id="rId4"/>
    <sheet xmlns:r="http://schemas.openxmlformats.org/officeDocument/2006/relationships" name="2024" sheetId="5" state="visible" r:id="rId5"/>
    <sheet xmlns:r="http://schemas.openxmlformats.org/officeDocument/2006/relationships" name="202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sz val="10"/>
    </font>
    <font>
      <name val="Calibri"/>
      <b val="1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EAEAEA"/>
        <bgColor rgb="00EAEAEA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0" fillId="0" borderId="2" pivotButton="0" quotePrefix="0" xfId="0"/>
    <xf numFmtId="0" fontId="4" fillId="0" borderId="2" pivotButton="0" quotePrefix="0" xfId="0"/>
    <xf numFmtId="164" fontId="0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PERIOD 2021-2025. GODINA</t>
        </is>
      </c>
    </row>
    <row r="2">
      <c r="A2" s="2" t="inlineStr">
        <is>
          <t>SJENICA  φ 43.27°N  λ 19.99°E  h 1038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>
        <f>AVERAGE('2021'!B6,'2022'!B6,'2023'!B6,'2024'!B6,'2025'!B6)</f>
        <v/>
      </c>
      <c r="C6" s="8">
        <f>AVERAGE('2021'!C6,'2022'!C6,'2023'!C6,'2024'!C6,'2025'!C6)</f>
        <v/>
      </c>
      <c r="D6" s="8">
        <f>AVERAGE('2021'!D6,'2022'!D6,'2023'!D6,'2024'!D6,'2025'!D6)</f>
        <v/>
      </c>
      <c r="E6" s="8">
        <f>AVERAGE('2021'!E6,'2022'!E6,'2023'!E6,'2024'!E6,'2025'!E6)</f>
        <v/>
      </c>
      <c r="F6" s="8">
        <f>AVERAGE('2021'!F6,'2022'!F6,'2023'!F6,'2024'!F6,'2025'!F6)</f>
        <v/>
      </c>
      <c r="G6" s="8">
        <f>AVERAGE('2021'!G6,'2022'!G6,'2023'!G6,'2024'!G6,'2025'!G6)</f>
        <v/>
      </c>
      <c r="H6" s="8">
        <f>AVERAGE('2021'!H6,'2022'!H6,'2023'!H6,'2024'!H6,'2025'!H6)</f>
        <v/>
      </c>
      <c r="I6" s="8">
        <f>AVERAGE('2021'!I6,'2022'!I6,'2023'!I6,'2024'!I6,'2025'!I6)</f>
        <v/>
      </c>
      <c r="J6" s="8">
        <f>AVERAGE('2021'!J6,'2022'!J6,'2023'!J6,'2024'!J6,'2025'!J6)</f>
        <v/>
      </c>
      <c r="K6" s="8">
        <f>AVERAGE('2021'!K6,'2022'!K6,'2023'!K6,'2024'!K6,'2025'!K6)</f>
        <v/>
      </c>
      <c r="L6" s="8">
        <f>AVERAGE('2021'!L6,'2022'!L6,'2023'!L6,'2024'!L6,'2025'!L6)</f>
        <v/>
      </c>
      <c r="M6" s="8">
        <f>AVERAGE('2021'!M6,'2022'!M6,'2023'!M6,'2024'!M6,'2025'!M6)</f>
        <v/>
      </c>
      <c r="N6" s="9">
        <f>AVERAGE(B6:M6)</f>
        <v/>
      </c>
    </row>
    <row r="7">
      <c r="A7" s="7" t="inlineStr">
        <is>
          <t>Srednja maksimalna</t>
        </is>
      </c>
      <c r="B7" s="8">
        <f>AVERAGE('2021'!B7,'2022'!B7,'2023'!B7,'2024'!B7,'2025'!B7)</f>
        <v/>
      </c>
      <c r="C7" s="8">
        <f>AVERAGE('2021'!C7,'2022'!C7,'2023'!C7,'2024'!C7,'2025'!C7)</f>
        <v/>
      </c>
      <c r="D7" s="8">
        <f>AVERAGE('2021'!D7,'2022'!D7,'2023'!D7,'2024'!D7,'2025'!D7)</f>
        <v/>
      </c>
      <c r="E7" s="8">
        <f>AVERAGE('2021'!E7,'2022'!E7,'2023'!E7,'2024'!E7,'2025'!E7)</f>
        <v/>
      </c>
      <c r="F7" s="8">
        <f>AVERAGE('2021'!F7,'2022'!F7,'2023'!F7,'2024'!F7,'2025'!F7)</f>
        <v/>
      </c>
      <c r="G7" s="8">
        <f>AVERAGE('2021'!G7,'2022'!G7,'2023'!G7,'2024'!G7,'2025'!G7)</f>
        <v/>
      </c>
      <c r="H7" s="8">
        <f>AVERAGE('2021'!H7,'2022'!H7,'2023'!H7,'2024'!H7,'2025'!H7)</f>
        <v/>
      </c>
      <c r="I7" s="8">
        <f>AVERAGE('2021'!I7,'2022'!I7,'2023'!I7,'2024'!I7,'2025'!I7)</f>
        <v/>
      </c>
      <c r="J7" s="8">
        <f>AVERAGE('2021'!J7,'2022'!J7,'2023'!J7,'2024'!J7,'2025'!J7)</f>
        <v/>
      </c>
      <c r="K7" s="8">
        <f>AVERAGE('2021'!K7,'2022'!K7,'2023'!K7,'2024'!K7,'2025'!K7)</f>
        <v/>
      </c>
      <c r="L7" s="8">
        <f>AVERAGE('2021'!L7,'2022'!L7,'2023'!L7,'2024'!L7,'2025'!L7)</f>
        <v/>
      </c>
      <c r="M7" s="8">
        <f>AVERAGE('2021'!M7,'2022'!M7,'2023'!M7,'2024'!M7,'2025'!M7)</f>
        <v/>
      </c>
      <c r="N7" s="9">
        <f>AVERAGE(B7:M7)</f>
        <v/>
      </c>
    </row>
    <row r="8">
      <c r="A8" s="7" t="inlineStr">
        <is>
          <t>Srednja minimalna</t>
        </is>
      </c>
      <c r="B8" s="8">
        <f>AVERAGE('2021'!B8,'2022'!B8,'2023'!B8,'2024'!B8,'2025'!B8)</f>
        <v/>
      </c>
      <c r="C8" s="8">
        <f>AVERAGE('2021'!C8,'2022'!C8,'2023'!C8,'2024'!C8,'2025'!C8)</f>
        <v/>
      </c>
      <c r="D8" s="8">
        <f>AVERAGE('2021'!D8,'2022'!D8,'2023'!D8,'2024'!D8,'2025'!D8)</f>
        <v/>
      </c>
      <c r="E8" s="8">
        <f>AVERAGE('2021'!E8,'2022'!E8,'2023'!E8,'2024'!E8,'2025'!E8)</f>
        <v/>
      </c>
      <c r="F8" s="8">
        <f>AVERAGE('2021'!F8,'2022'!F8,'2023'!F8,'2024'!F8,'2025'!F8)</f>
        <v/>
      </c>
      <c r="G8" s="8">
        <f>AVERAGE('2021'!G8,'2022'!G8,'2023'!G8,'2024'!G8,'2025'!G8)</f>
        <v/>
      </c>
      <c r="H8" s="8">
        <f>AVERAGE('2021'!H8,'2022'!H8,'2023'!H8,'2024'!H8,'2025'!H8)</f>
        <v/>
      </c>
      <c r="I8" s="8">
        <f>AVERAGE('2021'!I8,'2022'!I8,'2023'!I8,'2024'!I8,'2025'!I8)</f>
        <v/>
      </c>
      <c r="J8" s="8">
        <f>AVERAGE('2021'!J8,'2022'!J8,'2023'!J8,'2024'!J8,'2025'!J8)</f>
        <v/>
      </c>
      <c r="K8" s="8">
        <f>AVERAGE('2021'!K8,'2022'!K8,'2023'!K8,'2024'!K8,'2025'!K8)</f>
        <v/>
      </c>
      <c r="L8" s="8">
        <f>AVERAGE('2021'!L8,'2022'!L8,'2023'!L8,'2024'!L8,'2025'!L8)</f>
        <v/>
      </c>
      <c r="M8" s="8">
        <f>AVERAGE('2021'!M8,'2022'!M8,'2023'!M8,'2024'!M8,'2025'!M8)</f>
        <v/>
      </c>
      <c r="N8" s="9">
        <f>AVERAGE(B8:M8)</f>
        <v/>
      </c>
    </row>
    <row r="9">
      <c r="A9" s="7" t="inlineStr">
        <is>
          <t>Apsolutni maksimum</t>
        </is>
      </c>
      <c r="B9" s="8">
        <f>AVERAGE('2021'!B9,'2022'!B9,'2023'!B9,'2024'!B9,'2025'!B9)</f>
        <v/>
      </c>
      <c r="C9" s="8">
        <f>AVERAGE('2021'!C9,'2022'!C9,'2023'!C9,'2024'!C9,'2025'!C9)</f>
        <v/>
      </c>
      <c r="D9" s="8">
        <f>AVERAGE('2021'!D9,'2022'!D9,'2023'!D9,'2024'!D9,'2025'!D9)</f>
        <v/>
      </c>
      <c r="E9" s="8">
        <f>AVERAGE('2021'!E9,'2022'!E9,'2023'!E9,'2024'!E9,'2025'!E9)</f>
        <v/>
      </c>
      <c r="F9" s="8">
        <f>AVERAGE('2021'!F9,'2022'!F9,'2023'!F9,'2024'!F9,'2025'!F9)</f>
        <v/>
      </c>
      <c r="G9" s="8">
        <f>AVERAGE('2021'!G9,'2022'!G9,'2023'!G9,'2024'!G9,'2025'!G9)</f>
        <v/>
      </c>
      <c r="H9" s="8">
        <f>AVERAGE('2021'!H9,'2022'!H9,'2023'!H9,'2024'!H9,'2025'!H9)</f>
        <v/>
      </c>
      <c r="I9" s="8">
        <f>AVERAGE('2021'!I9,'2022'!I9,'2023'!I9,'2024'!I9,'2025'!I9)</f>
        <v/>
      </c>
      <c r="J9" s="8">
        <f>AVERAGE('2021'!J9,'2022'!J9,'2023'!J9,'2024'!J9,'2025'!J9)</f>
        <v/>
      </c>
      <c r="K9" s="8">
        <f>AVERAGE('2021'!K9,'2022'!K9,'2023'!K9,'2024'!K9,'2025'!K9)</f>
        <v/>
      </c>
      <c r="L9" s="8">
        <f>AVERAGE('2021'!L9,'2022'!L9,'2023'!L9,'2024'!L9,'2025'!L9)</f>
        <v/>
      </c>
      <c r="M9" s="8">
        <f>AVERAGE('2021'!M9,'2022'!M9,'2023'!M9,'2024'!M9,'2025'!M9)</f>
        <v/>
      </c>
      <c r="N9" s="9">
        <f>MAX(B9:M9)</f>
        <v/>
      </c>
    </row>
    <row r="10">
      <c r="A10" s="7" t="inlineStr">
        <is>
          <t>Apsolutni minimum</t>
        </is>
      </c>
      <c r="B10" s="8">
        <f>AVERAGE('2021'!B10,'2022'!B10,'2023'!B10,'2024'!B10,'2025'!B10)</f>
        <v/>
      </c>
      <c r="C10" s="8">
        <f>AVERAGE('2021'!C10,'2022'!C10,'2023'!C10,'2024'!C10,'2025'!C10)</f>
        <v/>
      </c>
      <c r="D10" s="8">
        <f>AVERAGE('2021'!D10,'2022'!D10,'2023'!D10,'2024'!D10,'2025'!D10)</f>
        <v/>
      </c>
      <c r="E10" s="8">
        <f>AVERAGE('2021'!E10,'2022'!E10,'2023'!E10,'2024'!E10,'2025'!E10)</f>
        <v/>
      </c>
      <c r="F10" s="8">
        <f>AVERAGE('2021'!F10,'2022'!F10,'2023'!F10,'2024'!F10,'2025'!F10)</f>
        <v/>
      </c>
      <c r="G10" s="8">
        <f>AVERAGE('2021'!G10,'2022'!G10,'2023'!G10,'2024'!G10,'2025'!G10)</f>
        <v/>
      </c>
      <c r="H10" s="8">
        <f>AVERAGE('2021'!H10,'2022'!H10,'2023'!H10,'2024'!H10,'2025'!H10)</f>
        <v/>
      </c>
      <c r="I10" s="8">
        <f>AVERAGE('2021'!I10,'2022'!I10,'2023'!I10,'2024'!I10,'2025'!I10)</f>
        <v/>
      </c>
      <c r="J10" s="8">
        <f>AVERAGE('2021'!J10,'2022'!J10,'2023'!J10,'2024'!J10,'2025'!J10)</f>
        <v/>
      </c>
      <c r="K10" s="8">
        <f>AVERAGE('2021'!K10,'2022'!K10,'2023'!K10,'2024'!K10,'2025'!K10)</f>
        <v/>
      </c>
      <c r="L10" s="8">
        <f>AVERAGE('2021'!L10,'2022'!L10,'2023'!L10,'2024'!L10,'2025'!L10)</f>
        <v/>
      </c>
      <c r="M10" s="8">
        <f>AVERAGE('2021'!M10,'2022'!M10,'2023'!M10,'2024'!M10,'2025'!M10)</f>
        <v/>
      </c>
      <c r="N10" s="9">
        <f>MIN(B10:M10)</f>
        <v/>
      </c>
    </row>
    <row r="11">
      <c r="A11" s="7" t="inlineStr">
        <is>
          <t>Sr. br. mraznih dana</t>
        </is>
      </c>
      <c r="B11" s="8">
        <f>AVERAGE('2021'!B11,'2022'!B11,'2023'!B11,'2024'!B11,'2025'!B11)</f>
        <v/>
      </c>
      <c r="C11" s="8">
        <f>AVERAGE('2021'!C11,'2022'!C11,'2023'!C11,'2024'!C11,'2025'!C11)</f>
        <v/>
      </c>
      <c r="D11" s="8">
        <f>AVERAGE('2021'!D11,'2022'!D11,'2023'!D11,'2024'!D11,'2025'!D11)</f>
        <v/>
      </c>
      <c r="E11" s="8">
        <f>AVERAGE('2021'!E11,'2022'!E11,'2023'!E11,'2024'!E11,'2025'!E11)</f>
        <v/>
      </c>
      <c r="F11" s="8">
        <f>AVERAGE('2021'!F11,'2022'!F11,'2023'!F11,'2024'!F11,'2025'!F11)</f>
        <v/>
      </c>
      <c r="G11" s="8">
        <f>AVERAGE('2021'!G11,'2022'!G11,'2023'!G11,'2024'!G11,'2025'!G11)</f>
        <v/>
      </c>
      <c r="H11" s="8">
        <f>AVERAGE('2021'!H11,'2022'!H11,'2023'!H11,'2024'!H11,'2025'!H11)</f>
        <v/>
      </c>
      <c r="I11" s="8">
        <f>AVERAGE('2021'!I11,'2022'!I11,'2023'!I11,'2024'!I11,'2025'!I11)</f>
        <v/>
      </c>
      <c r="J11" s="8">
        <f>AVERAGE('2021'!J11,'2022'!J11,'2023'!J11,'2024'!J11,'2025'!J11)</f>
        <v/>
      </c>
      <c r="K11" s="8">
        <f>AVERAGE('2021'!K11,'2022'!K11,'2023'!K11,'2024'!K11,'2025'!K11)</f>
        <v/>
      </c>
      <c r="L11" s="8">
        <f>AVERAGE('2021'!L11,'2022'!L11,'2023'!L11,'2024'!L11,'2025'!L11)</f>
        <v/>
      </c>
      <c r="M11" s="8">
        <f>AVERAGE('2021'!M11,'2022'!M11,'2023'!M11,'2024'!M11,'2025'!M11)</f>
        <v/>
      </c>
      <c r="N11" s="9">
        <f>SUM(B11:M11)</f>
        <v/>
      </c>
    </row>
    <row r="12">
      <c r="A12" s="7" t="inlineStr">
        <is>
          <t>Sr. br. tropskih dana</t>
        </is>
      </c>
      <c r="B12" s="8">
        <f>AVERAGE('2021'!B12,'2022'!B12,'2023'!B12,'2024'!B12,'2025'!B12)</f>
        <v/>
      </c>
      <c r="C12" s="8">
        <f>AVERAGE('2021'!C12,'2022'!C12,'2023'!C12,'2024'!C12,'2025'!C12)</f>
        <v/>
      </c>
      <c r="D12" s="8">
        <f>AVERAGE('2021'!D12,'2022'!D12,'2023'!D12,'2024'!D12,'2025'!D12)</f>
        <v/>
      </c>
      <c r="E12" s="8">
        <f>AVERAGE('2021'!E12,'2022'!E12,'2023'!E12,'2024'!E12,'2025'!E12)</f>
        <v/>
      </c>
      <c r="F12" s="8">
        <f>AVERAGE('2021'!F12,'2022'!F12,'2023'!F12,'2024'!F12,'2025'!F12)</f>
        <v/>
      </c>
      <c r="G12" s="8">
        <f>AVERAGE('2021'!G12,'2022'!G12,'2023'!G12,'2024'!G12,'2025'!G12)</f>
        <v/>
      </c>
      <c r="H12" s="8">
        <f>AVERAGE('2021'!H12,'2022'!H12,'2023'!H12,'2024'!H12,'2025'!H12)</f>
        <v/>
      </c>
      <c r="I12" s="8">
        <f>AVERAGE('2021'!I12,'2022'!I12,'2023'!I12,'2024'!I12,'2025'!I12)</f>
        <v/>
      </c>
      <c r="J12" s="8">
        <f>AVERAGE('2021'!J12,'2022'!J12,'2023'!J12,'2024'!J12,'2025'!J12)</f>
        <v/>
      </c>
      <c r="K12" s="8">
        <f>AVERAGE('2021'!K12,'2022'!K12,'2023'!K12,'2024'!K12,'2025'!K12)</f>
        <v/>
      </c>
      <c r="L12" s="8">
        <f>AVERAGE('2021'!L12,'2022'!L12,'2023'!L12,'2024'!L12,'2025'!L12)</f>
        <v/>
      </c>
      <c r="M12" s="8">
        <f>AVERAGE('2021'!M12,'2022'!M12,'2023'!M12,'2024'!M12,'2025'!M12)</f>
        <v/>
      </c>
      <c r="N12" s="9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>
        <f>AVERAGE('2021'!B14,'2022'!B14,'2023'!B14,'2024'!B14,'2025'!B14)</f>
        <v/>
      </c>
      <c r="C14" s="8">
        <f>AVERAGE('2021'!C14,'2022'!C14,'2023'!C14,'2024'!C14,'2025'!C14)</f>
        <v/>
      </c>
      <c r="D14" s="8">
        <f>AVERAGE('2021'!D14,'2022'!D14,'2023'!D14,'2024'!D14,'2025'!D14)</f>
        <v/>
      </c>
      <c r="E14" s="8">
        <f>AVERAGE('2021'!E14,'2022'!E14,'2023'!E14,'2024'!E14,'2025'!E14)</f>
        <v/>
      </c>
      <c r="F14" s="8">
        <f>AVERAGE('2021'!F14,'2022'!F14,'2023'!F14,'2024'!F14,'2025'!F14)</f>
        <v/>
      </c>
      <c r="G14" s="8">
        <f>AVERAGE('2021'!G14,'2022'!G14,'2023'!G14,'2024'!G14,'2025'!G14)</f>
        <v/>
      </c>
      <c r="H14" s="8">
        <f>AVERAGE('2021'!H14,'2022'!H14,'2023'!H14,'2024'!H14,'2025'!H14)</f>
        <v/>
      </c>
      <c r="I14" s="8">
        <f>AVERAGE('2021'!I14,'2022'!I14,'2023'!I14,'2024'!I14,'2025'!I14)</f>
        <v/>
      </c>
      <c r="J14" s="8">
        <f>AVERAGE('2021'!J14,'2022'!J14,'2023'!J14,'2024'!J14,'2025'!J14)</f>
        <v/>
      </c>
      <c r="K14" s="8">
        <f>AVERAGE('2021'!K14,'2022'!K14,'2023'!K14,'2024'!K14,'2025'!K14)</f>
        <v/>
      </c>
      <c r="L14" s="8">
        <f>AVERAGE('2021'!L14,'2022'!L14,'2023'!L14,'2024'!L14,'2025'!L14)</f>
        <v/>
      </c>
      <c r="M14" s="8">
        <f>AVERAGE('2021'!M14,'2022'!M14,'2023'!M14,'2024'!M14,'2025'!M14)</f>
        <v/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>
        <f>AVERAGE('2021'!B16,'2022'!B16,'2023'!B16,'2024'!B16,'2025'!B16)</f>
        <v/>
      </c>
      <c r="C16" s="8">
        <f>AVERAGE('2021'!C16,'2022'!C16,'2023'!C16,'2024'!C16,'2025'!C16)</f>
        <v/>
      </c>
      <c r="D16" s="8">
        <f>AVERAGE('2021'!D16,'2022'!D16,'2023'!D16,'2024'!D16,'2025'!D16)</f>
        <v/>
      </c>
      <c r="E16" s="8">
        <f>AVERAGE('2021'!E16,'2022'!E16,'2023'!E16,'2024'!E16,'2025'!E16)</f>
        <v/>
      </c>
      <c r="F16" s="8">
        <f>AVERAGE('2021'!F16,'2022'!F16,'2023'!F16,'2024'!F16,'2025'!F16)</f>
        <v/>
      </c>
      <c r="G16" s="8">
        <f>AVERAGE('2021'!G16,'2022'!G16,'2023'!G16,'2024'!G16,'2025'!G16)</f>
        <v/>
      </c>
      <c r="H16" s="8">
        <f>AVERAGE('2021'!H16,'2022'!H16,'2023'!H16,'2024'!H16,'2025'!H16)</f>
        <v/>
      </c>
      <c r="I16" s="8">
        <f>AVERAGE('2021'!I16,'2022'!I16,'2023'!I16,'2024'!I16,'2025'!I16)</f>
        <v/>
      </c>
      <c r="J16" s="8">
        <f>AVERAGE('2021'!J16,'2022'!J16,'2023'!J16,'2024'!J16,'2025'!J16)</f>
        <v/>
      </c>
      <c r="K16" s="8">
        <f>AVERAGE('2021'!K16,'2022'!K16,'2023'!K16,'2024'!K16,'2025'!K16)</f>
        <v/>
      </c>
      <c r="L16" s="8">
        <f>AVERAGE('2021'!L16,'2022'!L16,'2023'!L16,'2024'!L16,'2025'!L16)</f>
        <v/>
      </c>
      <c r="M16" s="8">
        <f>AVERAGE('2021'!M16,'2022'!M16,'2023'!M16,'2024'!M16,'2025'!M16)</f>
        <v/>
      </c>
      <c r="N16" s="9">
        <f>SUM(B16:M16)</f>
        <v/>
      </c>
    </row>
    <row r="17">
      <c r="A17" s="7" t="inlineStr">
        <is>
          <t>Broj vedrih dana</t>
        </is>
      </c>
      <c r="B17" s="8">
        <f>AVERAGE('2021'!B17,'2022'!B17,'2023'!B17,'2024'!B17,'2025'!B17)</f>
        <v/>
      </c>
      <c r="C17" s="8">
        <f>AVERAGE('2021'!C17,'2022'!C17,'2023'!C17,'2024'!C17,'2025'!C17)</f>
        <v/>
      </c>
      <c r="D17" s="8">
        <f>AVERAGE('2021'!D17,'2022'!D17,'2023'!D17,'2024'!D17,'2025'!D17)</f>
        <v/>
      </c>
      <c r="E17" s="8">
        <f>AVERAGE('2021'!E17,'2022'!E17,'2023'!E17,'2024'!E17,'2025'!E17)</f>
        <v/>
      </c>
      <c r="F17" s="8">
        <f>AVERAGE('2021'!F17,'2022'!F17,'2023'!F17,'2024'!F17,'2025'!F17)</f>
        <v/>
      </c>
      <c r="G17" s="8">
        <f>AVERAGE('2021'!G17,'2022'!G17,'2023'!G17,'2024'!G17,'2025'!G17)</f>
        <v/>
      </c>
      <c r="H17" s="8">
        <f>AVERAGE('2021'!H17,'2022'!H17,'2023'!H17,'2024'!H17,'2025'!H17)</f>
        <v/>
      </c>
      <c r="I17" s="8">
        <f>AVERAGE('2021'!I17,'2022'!I17,'2023'!I17,'2024'!I17,'2025'!I17)</f>
        <v/>
      </c>
      <c r="J17" s="8">
        <f>AVERAGE('2021'!J17,'2022'!J17,'2023'!J17,'2024'!J17,'2025'!J17)</f>
        <v/>
      </c>
      <c r="K17" s="8">
        <f>AVERAGE('2021'!K17,'2022'!K17,'2023'!K17,'2024'!K17,'2025'!K17)</f>
        <v/>
      </c>
      <c r="L17" s="8">
        <f>AVERAGE('2021'!L17,'2022'!L17,'2023'!L17,'2024'!L17,'2025'!L17)</f>
        <v/>
      </c>
      <c r="M17" s="8">
        <f>AVERAGE('2021'!M17,'2022'!M17,'2023'!M17,'2024'!M17,'2025'!M17)</f>
        <v/>
      </c>
      <c r="N17" s="9">
        <f>SUM(B17:M17)</f>
        <v/>
      </c>
    </row>
    <row r="18">
      <c r="A18" s="7" t="inlineStr">
        <is>
          <t>Broj oblačnih dana</t>
        </is>
      </c>
      <c r="B18" s="8">
        <f>AVERAGE('2021'!B18,'2022'!B18,'2023'!B18,'2024'!B18,'2025'!B18)</f>
        <v/>
      </c>
      <c r="C18" s="8">
        <f>AVERAGE('2021'!C18,'2022'!C18,'2023'!C18,'2024'!C18,'2025'!C18)</f>
        <v/>
      </c>
      <c r="D18" s="8">
        <f>AVERAGE('2021'!D18,'2022'!D18,'2023'!D18,'2024'!D18,'2025'!D18)</f>
        <v/>
      </c>
      <c r="E18" s="8">
        <f>AVERAGE('2021'!E18,'2022'!E18,'2023'!E18,'2024'!E18,'2025'!E18)</f>
        <v/>
      </c>
      <c r="F18" s="8">
        <f>AVERAGE('2021'!F18,'2022'!F18,'2023'!F18,'2024'!F18,'2025'!F18)</f>
        <v/>
      </c>
      <c r="G18" s="8">
        <f>AVERAGE('2021'!G18,'2022'!G18,'2023'!G18,'2024'!G18,'2025'!G18)</f>
        <v/>
      </c>
      <c r="H18" s="8">
        <f>AVERAGE('2021'!H18,'2022'!H18,'2023'!H18,'2024'!H18,'2025'!H18)</f>
        <v/>
      </c>
      <c r="I18" s="8">
        <f>AVERAGE('2021'!I18,'2022'!I18,'2023'!I18,'2024'!I18,'2025'!I18)</f>
        <v/>
      </c>
      <c r="J18" s="8">
        <f>AVERAGE('2021'!J18,'2022'!J18,'2023'!J18,'2024'!J18,'2025'!J18)</f>
        <v/>
      </c>
      <c r="K18" s="8">
        <f>AVERAGE('2021'!K18,'2022'!K18,'2023'!K18,'2024'!K18,'2025'!K18)</f>
        <v/>
      </c>
      <c r="L18" s="8">
        <f>AVERAGE('2021'!L18,'2022'!L18,'2023'!L18,'2024'!L18,'2025'!L18)</f>
        <v/>
      </c>
      <c r="M18" s="8">
        <f>AVERAGE('2021'!M18,'2022'!M18,'2023'!M18,'2024'!M18,'2025'!M18)</f>
        <v/>
      </c>
      <c r="N18" s="9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>
        <f>AVERAGE('2021'!B20,'2022'!B20,'2023'!B20,'2024'!B20,'2025'!B20)</f>
        <v/>
      </c>
      <c r="C20" s="8">
        <f>AVERAGE('2021'!C20,'2022'!C20,'2023'!C20,'2024'!C20,'2025'!C20)</f>
        <v/>
      </c>
      <c r="D20" s="8">
        <f>AVERAGE('2021'!D20,'2022'!D20,'2023'!D20,'2024'!D20,'2025'!D20)</f>
        <v/>
      </c>
      <c r="E20" s="8">
        <f>AVERAGE('2021'!E20,'2022'!E20,'2023'!E20,'2024'!E20,'2025'!E20)</f>
        <v/>
      </c>
      <c r="F20" s="8">
        <f>AVERAGE('2021'!F20,'2022'!F20,'2023'!F20,'2024'!F20,'2025'!F20)</f>
        <v/>
      </c>
      <c r="G20" s="8">
        <f>AVERAGE('2021'!G20,'2022'!G20,'2023'!G20,'2024'!G20,'2025'!G20)</f>
        <v/>
      </c>
      <c r="H20" s="8">
        <f>AVERAGE('2021'!H20,'2022'!H20,'2023'!H20,'2024'!H20,'2025'!H20)</f>
        <v/>
      </c>
      <c r="I20" s="8">
        <f>AVERAGE('2021'!I20,'2022'!I20,'2023'!I20,'2024'!I20,'2025'!I20)</f>
        <v/>
      </c>
      <c r="J20" s="8">
        <f>AVERAGE('2021'!J20,'2022'!J20,'2023'!J20,'2024'!J20,'2025'!J20)</f>
        <v/>
      </c>
      <c r="K20" s="8">
        <f>AVERAGE('2021'!K20,'2022'!K20,'2023'!K20,'2024'!K20,'2025'!K20)</f>
        <v/>
      </c>
      <c r="L20" s="8">
        <f>AVERAGE('2021'!L20,'2022'!L20,'2023'!L20,'2024'!L20,'2025'!L20)</f>
        <v/>
      </c>
      <c r="M20" s="8">
        <f>AVERAGE('2021'!M20,'2022'!M20,'2023'!M20,'2024'!M20,'2025'!M20)</f>
        <v/>
      </c>
      <c r="N20" s="9">
        <f>SUM(B20:M20)</f>
        <v/>
      </c>
    </row>
    <row r="21">
      <c r="A21" s="7" t="inlineStr">
        <is>
          <t>Max. dnevna suma</t>
        </is>
      </c>
      <c r="B21" s="8">
        <f>AVERAGE('2021'!B21,'2022'!B21,'2023'!B21,'2024'!B21,'2025'!B21)</f>
        <v/>
      </c>
      <c r="C21" s="8">
        <f>AVERAGE('2021'!C21,'2022'!C21,'2023'!C21,'2024'!C21,'2025'!C21)</f>
        <v/>
      </c>
      <c r="D21" s="8">
        <f>AVERAGE('2021'!D21,'2022'!D21,'2023'!D21,'2024'!D21,'2025'!D21)</f>
        <v/>
      </c>
      <c r="E21" s="8">
        <f>AVERAGE('2021'!E21,'2022'!E21,'2023'!E21,'2024'!E21,'2025'!E21)</f>
        <v/>
      </c>
      <c r="F21" s="8">
        <f>AVERAGE('2021'!F21,'2022'!F21,'2023'!F21,'2024'!F21,'2025'!F21)</f>
        <v/>
      </c>
      <c r="G21" s="8">
        <f>AVERAGE('2021'!G21,'2022'!G21,'2023'!G21,'2024'!G21,'2025'!G21)</f>
        <v/>
      </c>
      <c r="H21" s="8">
        <f>AVERAGE('2021'!H21,'2022'!H21,'2023'!H21,'2024'!H21,'2025'!H21)</f>
        <v/>
      </c>
      <c r="I21" s="8">
        <f>AVERAGE('2021'!I21,'2022'!I21,'2023'!I21,'2024'!I21,'2025'!I21)</f>
        <v/>
      </c>
      <c r="J21" s="8">
        <f>AVERAGE('2021'!J21,'2022'!J21,'2023'!J21,'2024'!J21,'2025'!J21)</f>
        <v/>
      </c>
      <c r="K21" s="8">
        <f>AVERAGE('2021'!K21,'2022'!K21,'2023'!K21,'2024'!K21,'2025'!K21)</f>
        <v/>
      </c>
      <c r="L21" s="8">
        <f>AVERAGE('2021'!L21,'2022'!L21,'2023'!L21,'2024'!L21,'2025'!L21)</f>
        <v/>
      </c>
      <c r="M21" s="8">
        <f>AVERAGE('2021'!M21,'2022'!M21,'2023'!M21,'2024'!M21,'2025'!M21)</f>
        <v/>
      </c>
      <c r="N21" s="9">
        <f>MAX(B21:M21)</f>
        <v/>
      </c>
    </row>
    <row r="22">
      <c r="A22" s="7" t="inlineStr">
        <is>
          <t>Sr. br. dana &gt;= 0.1 mm</t>
        </is>
      </c>
      <c r="B22" s="8">
        <f>AVERAGE('2021'!B22,'2022'!B22,'2023'!B22,'2024'!B22,'2025'!B22)</f>
        <v/>
      </c>
      <c r="C22" s="8">
        <f>AVERAGE('2021'!C22,'2022'!C22,'2023'!C22,'2024'!C22,'2025'!C22)</f>
        <v/>
      </c>
      <c r="D22" s="8">
        <f>AVERAGE('2021'!D22,'2022'!D22,'2023'!D22,'2024'!D22,'2025'!D22)</f>
        <v/>
      </c>
      <c r="E22" s="8">
        <f>AVERAGE('2021'!E22,'2022'!E22,'2023'!E22,'2024'!E22,'2025'!E22)</f>
        <v/>
      </c>
      <c r="F22" s="8">
        <f>AVERAGE('2021'!F22,'2022'!F22,'2023'!F22,'2024'!F22,'2025'!F22)</f>
        <v/>
      </c>
      <c r="G22" s="8">
        <f>AVERAGE('2021'!G22,'2022'!G22,'2023'!G22,'2024'!G22,'2025'!G22)</f>
        <v/>
      </c>
      <c r="H22" s="8">
        <f>AVERAGE('2021'!H22,'2022'!H22,'2023'!H22,'2024'!H22,'2025'!H22)</f>
        <v/>
      </c>
      <c r="I22" s="8">
        <f>AVERAGE('2021'!I22,'2022'!I22,'2023'!I22,'2024'!I22,'2025'!I22)</f>
        <v/>
      </c>
      <c r="J22" s="8">
        <f>AVERAGE('2021'!J22,'2022'!J22,'2023'!J22,'2024'!J22,'2025'!J22)</f>
        <v/>
      </c>
      <c r="K22" s="8">
        <f>AVERAGE('2021'!K22,'2022'!K22,'2023'!K22,'2024'!K22,'2025'!K22)</f>
        <v/>
      </c>
      <c r="L22" s="8">
        <f>AVERAGE('2021'!L22,'2022'!L22,'2023'!L22,'2024'!L22,'2025'!L22)</f>
        <v/>
      </c>
      <c r="M22" s="8">
        <f>AVERAGE('2021'!M22,'2022'!M22,'2023'!M22,'2024'!M22,'2025'!M22)</f>
        <v/>
      </c>
      <c r="N22" s="9">
        <f>SUM(B22:M22)</f>
        <v/>
      </c>
    </row>
    <row r="23">
      <c r="A23" s="7" t="inlineStr">
        <is>
          <t>Sr. br. dana &gt;= 10.0 mm</t>
        </is>
      </c>
      <c r="B23" s="8">
        <f>AVERAGE('2021'!B23,'2022'!B23,'2023'!B23,'2024'!B23,'2025'!B23)</f>
        <v/>
      </c>
      <c r="C23" s="8">
        <f>AVERAGE('2021'!C23,'2022'!C23,'2023'!C23,'2024'!C23,'2025'!C23)</f>
        <v/>
      </c>
      <c r="D23" s="8">
        <f>AVERAGE('2021'!D23,'2022'!D23,'2023'!D23,'2024'!D23,'2025'!D23)</f>
        <v/>
      </c>
      <c r="E23" s="8">
        <f>AVERAGE('2021'!E23,'2022'!E23,'2023'!E23,'2024'!E23,'2025'!E23)</f>
        <v/>
      </c>
      <c r="F23" s="8">
        <f>AVERAGE('2021'!F23,'2022'!F23,'2023'!F23,'2024'!F23,'2025'!F23)</f>
        <v/>
      </c>
      <c r="G23" s="8">
        <f>AVERAGE('2021'!G23,'2022'!G23,'2023'!G23,'2024'!G23,'2025'!G23)</f>
        <v/>
      </c>
      <c r="H23" s="8">
        <f>AVERAGE('2021'!H23,'2022'!H23,'2023'!H23,'2024'!H23,'2025'!H23)</f>
        <v/>
      </c>
      <c r="I23" s="8">
        <f>AVERAGE('2021'!I23,'2022'!I23,'2023'!I23,'2024'!I23,'2025'!I23)</f>
        <v/>
      </c>
      <c r="J23" s="8">
        <f>AVERAGE('2021'!J23,'2022'!J23,'2023'!J23,'2024'!J23,'2025'!J23)</f>
        <v/>
      </c>
      <c r="K23" s="8">
        <f>AVERAGE('2021'!K23,'2022'!K23,'2023'!K23,'2024'!K23,'2025'!K23)</f>
        <v/>
      </c>
      <c r="L23" s="8">
        <f>AVERAGE('2021'!L23,'2022'!L23,'2023'!L23,'2024'!L23,'2025'!L23)</f>
        <v/>
      </c>
      <c r="M23" s="8">
        <f>AVERAGE('2021'!M23,'2022'!M23,'2023'!M23,'2024'!M23,'2025'!M23)</f>
        <v/>
      </c>
      <c r="N23" s="9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8">
        <f>AVERAGE('2021'!B25,'2022'!B25,'2023'!B25,'2024'!B25,'2025'!B25)</f>
        <v/>
      </c>
      <c r="C25" s="8">
        <f>AVERAGE('2021'!C25,'2022'!C25,'2023'!C25,'2024'!C25,'2025'!C25)</f>
        <v/>
      </c>
      <c r="D25" s="8">
        <f>AVERAGE('2021'!D25,'2022'!D25,'2023'!D25,'2024'!D25,'2025'!D25)</f>
        <v/>
      </c>
      <c r="E25" s="8">
        <f>AVERAGE('2021'!E25,'2022'!E25,'2023'!E25,'2024'!E25,'2025'!E25)</f>
        <v/>
      </c>
      <c r="F25" s="8">
        <f>AVERAGE('2021'!F25,'2022'!F25,'2023'!F25,'2024'!F25,'2025'!F25)</f>
        <v/>
      </c>
      <c r="G25" s="8">
        <f>AVERAGE('2021'!G25,'2022'!G25,'2023'!G25,'2024'!G25,'2025'!G25)</f>
        <v/>
      </c>
      <c r="H25" s="8">
        <f>AVERAGE('2021'!H25,'2022'!H25,'2023'!H25,'2024'!H25,'2025'!H25)</f>
        <v/>
      </c>
      <c r="I25" s="8">
        <f>AVERAGE('2021'!I25,'2022'!I25,'2023'!I25,'2024'!I25,'2025'!I25)</f>
        <v/>
      </c>
      <c r="J25" s="8">
        <f>AVERAGE('2021'!J25,'2022'!J25,'2023'!J25,'2024'!J25,'2025'!J25)</f>
        <v/>
      </c>
      <c r="K25" s="8">
        <f>AVERAGE('2021'!K25,'2022'!K25,'2023'!K25,'2024'!K25,'2025'!K25)</f>
        <v/>
      </c>
      <c r="L25" s="8">
        <f>AVERAGE('2021'!L25,'2022'!L25,'2023'!L25,'2024'!L25,'2025'!L25)</f>
        <v/>
      </c>
      <c r="M25" s="8">
        <f>AVERAGE('2021'!M25,'2022'!M25,'2023'!M25,'2024'!M25,'2025'!M25)</f>
        <v/>
      </c>
      <c r="N25" s="9">
        <f>SUM(B25:M25)</f>
        <v/>
      </c>
    </row>
    <row r="26">
      <c r="A26" s="7" t="inlineStr">
        <is>
          <t>snežnim pokrivačem</t>
        </is>
      </c>
      <c r="B26" s="8">
        <f>AVERAGE('2021'!B26,'2022'!B26,'2023'!B26,'2024'!B26,'2025'!B26)</f>
        <v/>
      </c>
      <c r="C26" s="8">
        <f>AVERAGE('2021'!C26,'2022'!C26,'2023'!C26,'2024'!C26,'2025'!C26)</f>
        <v/>
      </c>
      <c r="D26" s="8">
        <f>AVERAGE('2021'!D26,'2022'!D26,'2023'!D26,'2024'!D26,'2025'!D26)</f>
        <v/>
      </c>
      <c r="E26" s="8">
        <f>AVERAGE('2021'!E26,'2022'!E26,'2023'!E26,'2024'!E26,'2025'!E26)</f>
        <v/>
      </c>
      <c r="F26" s="8">
        <f>AVERAGE('2021'!F26,'2022'!F26,'2023'!F26,'2024'!F26,'2025'!F26)</f>
        <v/>
      </c>
      <c r="G26" s="8">
        <f>AVERAGE('2021'!G26,'2022'!G26,'2023'!G26,'2024'!G26,'2025'!G26)</f>
        <v/>
      </c>
      <c r="H26" s="8">
        <f>AVERAGE('2021'!H26,'2022'!H26,'2023'!H26,'2024'!H26,'2025'!H26)</f>
        <v/>
      </c>
      <c r="I26" s="8">
        <f>AVERAGE('2021'!I26,'2022'!I26,'2023'!I26,'2024'!I26,'2025'!I26)</f>
        <v/>
      </c>
      <c r="J26" s="8">
        <f>AVERAGE('2021'!J26,'2022'!J26,'2023'!J26,'2024'!J26,'2025'!J26)</f>
        <v/>
      </c>
      <c r="K26" s="8">
        <f>AVERAGE('2021'!K26,'2022'!K26,'2023'!K26,'2024'!K26,'2025'!K26)</f>
        <v/>
      </c>
      <c r="L26" s="8">
        <f>AVERAGE('2021'!L26,'2022'!L26,'2023'!L26,'2024'!L26,'2025'!L26)</f>
        <v/>
      </c>
      <c r="M26" s="8">
        <f>AVERAGE('2021'!M26,'2022'!M26,'2023'!M26,'2024'!M26,'2025'!M26)</f>
        <v/>
      </c>
      <c r="N26" s="9">
        <f>SUM(B26:M26)</f>
        <v/>
      </c>
    </row>
    <row r="27">
      <c r="A27" s="7" t="inlineStr">
        <is>
          <t>maglom</t>
        </is>
      </c>
      <c r="B27" s="8">
        <f>AVERAGE('2021'!B27,'2022'!B27,'2023'!B27,'2024'!B27,'2025'!B27)</f>
        <v/>
      </c>
      <c r="C27" s="8">
        <f>AVERAGE('2021'!C27,'2022'!C27,'2023'!C27,'2024'!C27,'2025'!C27)</f>
        <v/>
      </c>
      <c r="D27" s="8">
        <f>AVERAGE('2021'!D27,'2022'!D27,'2023'!D27,'2024'!D27,'2025'!D27)</f>
        <v/>
      </c>
      <c r="E27" s="8">
        <f>AVERAGE('2021'!E27,'2022'!E27,'2023'!E27,'2024'!E27,'2025'!E27)</f>
        <v/>
      </c>
      <c r="F27" s="8">
        <f>AVERAGE('2021'!F27,'2022'!F27,'2023'!F27,'2024'!F27,'2025'!F27)</f>
        <v/>
      </c>
      <c r="G27" s="8">
        <f>AVERAGE('2021'!G27,'2022'!G27,'2023'!G27,'2024'!G27,'2025'!G27)</f>
        <v/>
      </c>
      <c r="H27" s="8">
        <f>AVERAGE('2021'!H27,'2022'!H27,'2023'!H27,'2024'!H27,'2025'!H27)</f>
        <v/>
      </c>
      <c r="I27" s="8">
        <f>AVERAGE('2021'!I27,'2022'!I27,'2023'!I27,'2024'!I27,'2025'!I27)</f>
        <v/>
      </c>
      <c r="J27" s="8">
        <f>AVERAGE('2021'!J27,'2022'!J27,'2023'!J27,'2024'!J27,'2025'!J27)</f>
        <v/>
      </c>
      <c r="K27" s="8">
        <f>AVERAGE('2021'!K27,'2022'!K27,'2023'!K27,'2024'!K27,'2025'!K27)</f>
        <v/>
      </c>
      <c r="L27" s="8">
        <f>AVERAGE('2021'!L27,'2022'!L27,'2023'!L27,'2024'!L27,'2025'!L27)</f>
        <v/>
      </c>
      <c r="M27" s="8">
        <f>AVERAGE('2021'!M27,'2022'!M27,'2023'!M27,'2024'!M27,'2025'!M27)</f>
        <v/>
      </c>
      <c r="N27" s="9">
        <f>SUM(B27:M27)</f>
        <v/>
      </c>
    </row>
    <row r="28">
      <c r="A28" s="7" t="inlineStr">
        <is>
          <t>gradom</t>
        </is>
      </c>
      <c r="B28" s="8">
        <f>AVERAGE('2021'!B28,'2022'!B28,'2023'!B28,'2024'!B28,'2025'!B28)</f>
        <v/>
      </c>
      <c r="C28" s="8">
        <f>AVERAGE('2021'!C28,'2022'!C28,'2023'!C28,'2024'!C28,'2025'!C28)</f>
        <v/>
      </c>
      <c r="D28" s="8">
        <f>AVERAGE('2021'!D28,'2022'!D28,'2023'!D28,'2024'!D28,'2025'!D28)</f>
        <v/>
      </c>
      <c r="E28" s="8">
        <f>AVERAGE('2021'!E28,'2022'!E28,'2023'!E28,'2024'!E28,'2025'!E28)</f>
        <v/>
      </c>
      <c r="F28" s="8">
        <f>AVERAGE('2021'!F28,'2022'!F28,'2023'!F28,'2024'!F28,'2025'!F28)</f>
        <v/>
      </c>
      <c r="G28" s="8">
        <f>AVERAGE('2021'!G28,'2022'!G28,'2023'!G28,'2024'!G28,'2025'!G28)</f>
        <v/>
      </c>
      <c r="H28" s="8">
        <f>AVERAGE('2021'!H28,'2022'!H28,'2023'!H28,'2024'!H28,'2025'!H28)</f>
        <v/>
      </c>
      <c r="I28" s="8">
        <f>AVERAGE('2021'!I28,'2022'!I28,'2023'!I28,'2024'!I28,'2025'!I28)</f>
        <v/>
      </c>
      <c r="J28" s="8">
        <f>AVERAGE('2021'!J28,'2022'!J28,'2023'!J28,'2024'!J28,'2025'!J28)</f>
        <v/>
      </c>
      <c r="K28" s="8">
        <f>AVERAGE('2021'!K28,'2022'!K28,'2023'!K28,'2024'!K28,'2025'!K28)</f>
        <v/>
      </c>
      <c r="L28" s="8">
        <f>AVERAGE('2021'!L28,'2022'!L28,'2023'!L28,'2024'!L28,'2025'!L28)</f>
        <v/>
      </c>
      <c r="M28" s="8">
        <f>AVERAGE('2021'!M28,'2022'!M28,'2023'!M28,'2024'!M28,'2025'!M28)</f>
        <v/>
      </c>
      <c r="N28" s="9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2021. GODINU</t>
        </is>
      </c>
    </row>
    <row r="2">
      <c r="A2" s="2" t="inlineStr">
        <is>
          <t>SJENICA  φ 43.27°N  λ 19.99°E  h 1038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-1.4</v>
      </c>
      <c r="C6" s="8" t="n">
        <v>1.5</v>
      </c>
      <c r="D6" s="8" t="n">
        <v>0.3</v>
      </c>
      <c r="E6" s="8" t="n">
        <v>4.7</v>
      </c>
      <c r="F6" s="8" t="n">
        <v>11.8</v>
      </c>
      <c r="G6" s="8" t="n">
        <v>16.4</v>
      </c>
      <c r="H6" s="8" t="n">
        <v>19.9</v>
      </c>
      <c r="I6" s="8" t="n">
        <v>19.2</v>
      </c>
      <c r="J6" s="8" t="n">
        <v>13.7</v>
      </c>
      <c r="K6" s="8" t="n">
        <v>6.9</v>
      </c>
      <c r="L6" s="8" t="n">
        <v>6</v>
      </c>
      <c r="M6" s="8" t="n">
        <v>-0.5</v>
      </c>
      <c r="N6" s="9">
        <f>AVERAGE(B6:M6)</f>
        <v/>
      </c>
    </row>
    <row r="7">
      <c r="A7" s="7" t="inlineStr">
        <is>
          <t>Srednja maksimalna</t>
        </is>
      </c>
      <c r="B7" s="8" t="n">
        <v>1.6</v>
      </c>
      <c r="C7" s="8" t="n">
        <v>7</v>
      </c>
      <c r="D7" s="8" t="n">
        <v>4.9</v>
      </c>
      <c r="E7" s="8" t="n">
        <v>10.2</v>
      </c>
      <c r="F7" s="8" t="n">
        <v>17.1</v>
      </c>
      <c r="G7" s="8" t="n">
        <v>21.5</v>
      </c>
      <c r="H7" s="8" t="n">
        <v>25.6</v>
      </c>
      <c r="I7" s="8" t="n">
        <v>25.6</v>
      </c>
      <c r="J7" s="8" t="n">
        <v>19</v>
      </c>
      <c r="K7" s="8" t="n">
        <v>11.6</v>
      </c>
      <c r="L7" s="8" t="n">
        <v>10.4</v>
      </c>
      <c r="M7" s="8" t="n">
        <v>2.7</v>
      </c>
      <c r="N7" s="9">
        <f>AVERAGE(B7:M7)</f>
        <v/>
      </c>
    </row>
    <row r="8">
      <c r="A8" s="7" t="inlineStr">
        <is>
          <t>Srednja minimalna</t>
        </is>
      </c>
      <c r="B8" s="8" t="n">
        <v>-3.9</v>
      </c>
      <c r="C8" s="8" t="n">
        <v>-3.2</v>
      </c>
      <c r="D8" s="8" t="n">
        <v>-3.8</v>
      </c>
      <c r="E8" s="8" t="n">
        <v>-0.3</v>
      </c>
      <c r="F8" s="8" t="n">
        <v>6.9</v>
      </c>
      <c r="G8" s="8" t="n">
        <v>11.2</v>
      </c>
      <c r="H8" s="8" t="n">
        <v>14.4</v>
      </c>
      <c r="I8" s="8" t="n">
        <v>13.5</v>
      </c>
      <c r="J8" s="8" t="n">
        <v>9.199999999999999</v>
      </c>
      <c r="K8" s="8" t="n">
        <v>3.2</v>
      </c>
      <c r="L8" s="8" t="n">
        <v>2.7</v>
      </c>
      <c r="M8" s="8" t="n">
        <v>-3.6</v>
      </c>
      <c r="N8" s="9">
        <f>AVERAGE(B8:M8)</f>
        <v/>
      </c>
    </row>
    <row r="9">
      <c r="A9" s="7" t="inlineStr">
        <is>
          <t>Apsolutni maksimum</t>
        </is>
      </c>
      <c r="B9" s="8" t="n">
        <v>7.6</v>
      </c>
      <c r="C9" s="8" t="n">
        <v>15.5</v>
      </c>
      <c r="D9" s="8" t="n">
        <v>13.3</v>
      </c>
      <c r="E9" s="8" t="n">
        <v>21.2</v>
      </c>
      <c r="F9" s="8" t="n">
        <v>25.3</v>
      </c>
      <c r="G9" s="8" t="n">
        <v>31.2</v>
      </c>
      <c r="H9" s="8" t="n">
        <v>32.4</v>
      </c>
      <c r="I9" s="8" t="n">
        <v>32.1</v>
      </c>
      <c r="J9" s="8" t="n">
        <v>24.3</v>
      </c>
      <c r="K9" s="8" t="n">
        <v>21.6</v>
      </c>
      <c r="L9" s="8" t="n">
        <v>19.6</v>
      </c>
      <c r="M9" s="8" t="n">
        <v>8.800000000000001</v>
      </c>
      <c r="N9" s="9">
        <f>MAX(B9:M9)</f>
        <v/>
      </c>
    </row>
    <row r="10">
      <c r="A10" s="7" t="inlineStr">
        <is>
          <t>Apsolutni minimum</t>
        </is>
      </c>
      <c r="B10" s="8" t="n">
        <v>-12.8</v>
      </c>
      <c r="C10" s="8" t="n">
        <v>-17.2</v>
      </c>
      <c r="D10" s="8" t="n">
        <v>-10.4</v>
      </c>
      <c r="E10" s="8" t="n">
        <v>-9.1</v>
      </c>
      <c r="F10" s="8" t="n">
        <v>1.4</v>
      </c>
      <c r="G10" s="8" t="n">
        <v>3.4</v>
      </c>
      <c r="H10" s="8" t="n">
        <v>10</v>
      </c>
      <c r="I10" s="8" t="n">
        <v>8.4</v>
      </c>
      <c r="J10" s="8" t="n">
        <v>3</v>
      </c>
      <c r="K10" s="8" t="n">
        <v>-1.9</v>
      </c>
      <c r="L10" s="8" t="n">
        <v>-6.9</v>
      </c>
      <c r="M10" s="8" t="n">
        <v>-16.1</v>
      </c>
      <c r="N10" s="9">
        <f>MIN(B10:M10)</f>
        <v/>
      </c>
    </row>
    <row r="11">
      <c r="A11" s="7" t="inlineStr">
        <is>
          <t>Sr. br. mraznih dana</t>
        </is>
      </c>
      <c r="B11" s="10" t="n">
        <v>22</v>
      </c>
      <c r="C11" s="10" t="n">
        <v>16</v>
      </c>
      <c r="D11" s="10" t="n">
        <v>26</v>
      </c>
      <c r="E11" s="10" t="n">
        <v>17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4</v>
      </c>
      <c r="L11" s="10" t="n">
        <v>5</v>
      </c>
      <c r="M11" s="10" t="n">
        <v>26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5</v>
      </c>
      <c r="H12" s="10" t="n">
        <v>8</v>
      </c>
      <c r="I12" s="10" t="n">
        <v>6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85.5</v>
      </c>
      <c r="C14" s="8" t="n">
        <v>74.09999999999999</v>
      </c>
      <c r="D14" s="8" t="n">
        <v>77.09999999999999</v>
      </c>
      <c r="E14" s="8" t="n">
        <v>70.5</v>
      </c>
      <c r="F14" s="8" t="n">
        <v>67.90000000000001</v>
      </c>
      <c r="G14" s="8" t="n">
        <v>69.40000000000001</v>
      </c>
      <c r="H14" s="8" t="n">
        <v>66.5</v>
      </c>
      <c r="I14" s="8" t="n">
        <v>60.2</v>
      </c>
      <c r="J14" s="8" t="n">
        <v>70.8</v>
      </c>
      <c r="K14" s="8" t="n">
        <v>80.40000000000001</v>
      </c>
      <c r="L14" s="8" t="n">
        <v>82.59999999999999</v>
      </c>
      <c r="M14" s="8" t="n">
        <v>88.2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175.2</v>
      </c>
      <c r="C16" s="8" t="n">
        <v>227.7</v>
      </c>
      <c r="D16" s="8" t="n">
        <v>234.4</v>
      </c>
      <c r="E16" s="8" t="n">
        <v>280.1</v>
      </c>
      <c r="F16" s="8" t="n">
        <v>366.1</v>
      </c>
      <c r="G16" s="8" t="n">
        <v>410.1</v>
      </c>
      <c r="H16" s="8" t="n">
        <v>416.4</v>
      </c>
      <c r="I16" s="8" t="n">
        <v>375.1</v>
      </c>
      <c r="J16" s="8" t="n">
        <v>318.3</v>
      </c>
      <c r="K16" s="8" t="n">
        <v>209.9</v>
      </c>
      <c r="L16" s="8" t="n">
        <v>167.9</v>
      </c>
      <c r="M16" s="8" t="n">
        <v>112.9</v>
      </c>
      <c r="N16" s="9">
        <f>SUM(B16:M16)</f>
        <v/>
      </c>
    </row>
    <row r="17">
      <c r="A17" s="7" t="inlineStr">
        <is>
          <t>Broj vedrih dana</t>
        </is>
      </c>
      <c r="B17" s="10" t="n">
        <v>1</v>
      </c>
      <c r="C17" s="10" t="n">
        <v>5</v>
      </c>
      <c r="D17" s="10" t="n">
        <v>6</v>
      </c>
      <c r="E17" s="10" t="n">
        <v>2</v>
      </c>
      <c r="F17" s="10" t="n">
        <v>2</v>
      </c>
      <c r="G17" s="10" t="n">
        <v>6</v>
      </c>
      <c r="H17" s="10" t="n">
        <v>11</v>
      </c>
      <c r="I17" s="10" t="n">
        <v>17</v>
      </c>
      <c r="J17" s="10" t="n">
        <v>8</v>
      </c>
      <c r="K17" s="10" t="n">
        <v>10</v>
      </c>
      <c r="L17" s="10" t="n">
        <v>2</v>
      </c>
      <c r="M17" s="10" t="n">
        <v>0</v>
      </c>
      <c r="N17" s="11">
        <f>SUM(B17:M17)</f>
        <v/>
      </c>
    </row>
    <row r="18">
      <c r="A18" s="7" t="inlineStr">
        <is>
          <t>Broj oblačnih dana</t>
        </is>
      </c>
      <c r="B18" s="10" t="n">
        <v>18</v>
      </c>
      <c r="C18" s="10" t="n">
        <v>5</v>
      </c>
      <c r="D18" s="10" t="n">
        <v>13</v>
      </c>
      <c r="E18" s="10" t="n">
        <v>9</v>
      </c>
      <c r="F18" s="10" t="n">
        <v>6</v>
      </c>
      <c r="G18" s="10" t="n">
        <v>1</v>
      </c>
      <c r="H18" s="10" t="n">
        <v>2</v>
      </c>
      <c r="I18" s="10" t="n">
        <v>3</v>
      </c>
      <c r="J18" s="10" t="n">
        <v>6</v>
      </c>
      <c r="K18" s="10" t="n">
        <v>13</v>
      </c>
      <c r="L18" s="10" t="n">
        <v>16</v>
      </c>
      <c r="M18" s="10" t="n">
        <v>20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177.2</v>
      </c>
      <c r="C20" s="8" t="n">
        <v>50.6</v>
      </c>
      <c r="D20" s="8" t="n">
        <v>89</v>
      </c>
      <c r="E20" s="8" t="n">
        <v>75.2</v>
      </c>
      <c r="F20" s="8" t="n">
        <v>57.2</v>
      </c>
      <c r="G20" s="8" t="n">
        <v>58.1</v>
      </c>
      <c r="H20" s="8" t="n">
        <v>54.8</v>
      </c>
      <c r="I20" s="8" t="n">
        <v>23.9</v>
      </c>
      <c r="J20" s="8" t="n">
        <v>26.2</v>
      </c>
      <c r="K20" s="8" t="n">
        <v>58</v>
      </c>
      <c r="L20" s="8" t="n">
        <v>48.8</v>
      </c>
      <c r="M20" s="8" t="n">
        <v>124</v>
      </c>
      <c r="N20" s="9">
        <f>SUM(B20:M20)</f>
        <v/>
      </c>
    </row>
    <row r="21">
      <c r="A21" s="7" t="inlineStr">
        <is>
          <t>Max. dnevna suma</t>
        </is>
      </c>
      <c r="B21" s="8" t="n">
        <v>28.8</v>
      </c>
      <c r="C21" s="8" t="n">
        <v>11.3</v>
      </c>
      <c r="D21" s="8" t="n">
        <v>18.8</v>
      </c>
      <c r="E21" s="8" t="n">
        <v>13.6</v>
      </c>
      <c r="F21" s="8" t="n">
        <v>8.699999999999999</v>
      </c>
      <c r="G21" s="8" t="n">
        <v>11.9</v>
      </c>
      <c r="H21" s="8" t="n">
        <v>10.3</v>
      </c>
      <c r="I21" s="8" t="n">
        <v>6.6</v>
      </c>
      <c r="J21" s="8" t="n">
        <v>7.6</v>
      </c>
      <c r="K21" s="8" t="n">
        <v>12.3</v>
      </c>
      <c r="L21" s="8" t="n">
        <v>11.9</v>
      </c>
      <c r="M21" s="8" t="n">
        <v>24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24</v>
      </c>
      <c r="C22" s="10" t="n">
        <v>12</v>
      </c>
      <c r="D22" s="10" t="n">
        <v>16</v>
      </c>
      <c r="E22" s="10" t="n">
        <v>21</v>
      </c>
      <c r="F22" s="10" t="n">
        <v>18</v>
      </c>
      <c r="G22" s="10" t="n">
        <v>18</v>
      </c>
      <c r="H22" s="10" t="n">
        <v>19</v>
      </c>
      <c r="I22" s="10" t="n">
        <v>14</v>
      </c>
      <c r="J22" s="10" t="n">
        <v>13</v>
      </c>
      <c r="K22" s="10" t="n">
        <v>13</v>
      </c>
      <c r="L22" s="10" t="n">
        <v>17</v>
      </c>
      <c r="M22" s="10" t="n">
        <v>25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7</v>
      </c>
      <c r="C23" s="10" t="n">
        <v>2</v>
      </c>
      <c r="D23" s="10" t="n">
        <v>3</v>
      </c>
      <c r="E23" s="10" t="n">
        <v>2</v>
      </c>
      <c r="F23" s="10" t="n">
        <v>0</v>
      </c>
      <c r="G23" s="10" t="n">
        <v>2</v>
      </c>
      <c r="H23" s="10" t="n">
        <v>1</v>
      </c>
      <c r="I23" s="10" t="n">
        <v>0</v>
      </c>
      <c r="J23" s="10" t="n">
        <v>0</v>
      </c>
      <c r="K23" s="10" t="n">
        <v>2</v>
      </c>
      <c r="L23" s="10" t="n">
        <v>1</v>
      </c>
      <c r="M23" s="10" t="n">
        <v>5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24</v>
      </c>
      <c r="C25" s="10" t="n">
        <v>8</v>
      </c>
      <c r="D25" s="10" t="n">
        <v>15</v>
      </c>
      <c r="E25" s="10" t="n">
        <v>15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2</v>
      </c>
      <c r="L25" s="10" t="n">
        <v>2</v>
      </c>
      <c r="M25" s="10" t="n">
        <v>22</v>
      </c>
      <c r="N25" s="11">
        <f>SUM(B25:M25)</f>
        <v/>
      </c>
    </row>
    <row r="26">
      <c r="A26" s="7" t="inlineStr">
        <is>
          <t>snežnim pokrivačem</t>
        </is>
      </c>
      <c r="B26" s="10" t="n">
        <v>24</v>
      </c>
      <c r="C26" s="10" t="n">
        <v>8</v>
      </c>
      <c r="D26" s="10" t="n">
        <v>15</v>
      </c>
      <c r="E26" s="10" t="n">
        <v>15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2</v>
      </c>
      <c r="L26" s="10" t="n">
        <v>2</v>
      </c>
      <c r="M26" s="10" t="n">
        <v>22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2022. GODINU</t>
        </is>
      </c>
    </row>
    <row r="2">
      <c r="A2" s="2" t="inlineStr">
        <is>
          <t>SJENICA  φ 43.27°N  λ 19.99°E  h 1038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-3.2</v>
      </c>
      <c r="C6" s="8" t="n">
        <v>0.2</v>
      </c>
      <c r="D6" s="8" t="n">
        <v>-0.4</v>
      </c>
      <c r="E6" s="8" t="n">
        <v>6.4</v>
      </c>
      <c r="F6" s="8" t="n">
        <v>13.4</v>
      </c>
      <c r="G6" s="8" t="n">
        <v>17.5</v>
      </c>
      <c r="H6" s="8" t="n">
        <v>18.7</v>
      </c>
      <c r="I6" s="8" t="n">
        <v>18.1</v>
      </c>
      <c r="J6" s="8" t="n">
        <v>12.9</v>
      </c>
      <c r="K6" s="8" t="n">
        <v>11</v>
      </c>
      <c r="L6" s="8" t="n">
        <v>6.1</v>
      </c>
      <c r="M6" s="8" t="n">
        <v>3.8</v>
      </c>
      <c r="N6" s="9">
        <f>AVERAGE(B6:M6)</f>
        <v/>
      </c>
    </row>
    <row r="7">
      <c r="A7" s="7" t="inlineStr">
        <is>
          <t>Srednja maksimalna</t>
        </is>
      </c>
      <c r="B7" s="8" t="n">
        <v>1</v>
      </c>
      <c r="C7" s="8" t="n">
        <v>4.8</v>
      </c>
      <c r="D7" s="8" t="n">
        <v>4.9</v>
      </c>
      <c r="E7" s="8" t="n">
        <v>11.7</v>
      </c>
      <c r="F7" s="8" t="n">
        <v>19</v>
      </c>
      <c r="G7" s="8" t="n">
        <v>22.5</v>
      </c>
      <c r="H7" s="8" t="n">
        <v>24.3</v>
      </c>
      <c r="I7" s="8" t="n">
        <v>23.4</v>
      </c>
      <c r="J7" s="8" t="n">
        <v>17.8</v>
      </c>
      <c r="K7" s="8" t="n">
        <v>16.9</v>
      </c>
      <c r="L7" s="8" t="n">
        <v>10.1</v>
      </c>
      <c r="M7" s="8" t="n">
        <v>8.199999999999999</v>
      </c>
      <c r="N7" s="9">
        <f>AVERAGE(B7:M7)</f>
        <v/>
      </c>
    </row>
    <row r="8">
      <c r="A8" s="7" t="inlineStr">
        <is>
          <t>Srednja minimalna</t>
        </is>
      </c>
      <c r="B8" s="8" t="n">
        <v>-7.4</v>
      </c>
      <c r="C8" s="8" t="n">
        <v>-3.5</v>
      </c>
      <c r="D8" s="8" t="n">
        <v>-5.5</v>
      </c>
      <c r="E8" s="8" t="n">
        <v>1.4</v>
      </c>
      <c r="F8" s="8" t="n">
        <v>7.7</v>
      </c>
      <c r="G8" s="8" t="n">
        <v>12.5</v>
      </c>
      <c r="H8" s="8" t="n">
        <v>13.3</v>
      </c>
      <c r="I8" s="8" t="n">
        <v>13.4</v>
      </c>
      <c r="J8" s="8" t="n">
        <v>8.699999999999999</v>
      </c>
      <c r="K8" s="8" t="n">
        <v>6.5</v>
      </c>
      <c r="L8" s="8" t="n">
        <v>2.9</v>
      </c>
      <c r="M8" s="8" t="n">
        <v>0.8</v>
      </c>
      <c r="N8" s="9">
        <f>AVERAGE(B8:M8)</f>
        <v/>
      </c>
    </row>
    <row r="9">
      <c r="A9" s="7" t="inlineStr">
        <is>
          <t>Apsolutni maksimum</t>
        </is>
      </c>
      <c r="B9" s="8" t="n">
        <v>10.2</v>
      </c>
      <c r="C9" s="8" t="n">
        <v>12.5</v>
      </c>
      <c r="D9" s="8" t="n">
        <v>13.9</v>
      </c>
      <c r="E9" s="8" t="n">
        <v>19.5</v>
      </c>
      <c r="F9" s="8" t="n">
        <v>25.5</v>
      </c>
      <c r="G9" s="8" t="n">
        <v>28</v>
      </c>
      <c r="H9" s="8" t="n">
        <v>31.6</v>
      </c>
      <c r="I9" s="8" t="n">
        <v>30.6</v>
      </c>
      <c r="J9" s="8" t="n">
        <v>24.2</v>
      </c>
      <c r="K9" s="8" t="n">
        <v>22.4</v>
      </c>
      <c r="L9" s="8" t="n">
        <v>21.5</v>
      </c>
      <c r="M9" s="8" t="n">
        <v>13.1</v>
      </c>
      <c r="N9" s="9">
        <f>MAX(B9:M9)</f>
        <v/>
      </c>
    </row>
    <row r="10">
      <c r="A10" s="7" t="inlineStr">
        <is>
          <t>Apsolutni minimum</t>
        </is>
      </c>
      <c r="B10" s="8" t="n">
        <v>-20.2</v>
      </c>
      <c r="C10" s="8" t="n">
        <v>-8.6</v>
      </c>
      <c r="D10" s="8" t="n">
        <v>-18.1</v>
      </c>
      <c r="E10" s="8" t="n">
        <v>-4.2</v>
      </c>
      <c r="F10" s="8" t="n">
        <v>1.1</v>
      </c>
      <c r="G10" s="8" t="n">
        <v>8.4</v>
      </c>
      <c r="H10" s="8" t="n">
        <v>7.4</v>
      </c>
      <c r="I10" s="8" t="n">
        <v>9.9</v>
      </c>
      <c r="J10" s="8" t="n">
        <v>0.5</v>
      </c>
      <c r="K10" s="8" t="n">
        <v>2.2</v>
      </c>
      <c r="L10" s="8" t="n">
        <v>-2.8</v>
      </c>
      <c r="M10" s="8" t="n">
        <v>-4.4</v>
      </c>
      <c r="N10" s="9">
        <f>MIN(B10:M10)</f>
        <v/>
      </c>
    </row>
    <row r="11">
      <c r="A11" s="7" t="inlineStr">
        <is>
          <t>Sr. br. mraznih dana</t>
        </is>
      </c>
      <c r="B11" s="10" t="n">
        <v>26</v>
      </c>
      <c r="C11" s="10" t="n">
        <v>23</v>
      </c>
      <c r="D11" s="10" t="n">
        <v>26</v>
      </c>
      <c r="E11" s="10" t="n">
        <v>11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5</v>
      </c>
      <c r="M11" s="10" t="n">
        <v>10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2</v>
      </c>
      <c r="I12" s="10" t="n">
        <v>1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81.59999999999999</v>
      </c>
      <c r="C14" s="8" t="n">
        <v>80.90000000000001</v>
      </c>
      <c r="D14" s="8" t="n">
        <v>67.90000000000001</v>
      </c>
      <c r="E14" s="8" t="n">
        <v>70.09999999999999</v>
      </c>
      <c r="F14" s="8" t="n">
        <v>69.8</v>
      </c>
      <c r="G14" s="8" t="n">
        <v>73.40000000000001</v>
      </c>
      <c r="H14" s="8" t="n">
        <v>64.3</v>
      </c>
      <c r="I14" s="8" t="n">
        <v>72.40000000000001</v>
      </c>
      <c r="J14" s="8" t="n">
        <v>77.3</v>
      </c>
      <c r="K14" s="8" t="n">
        <v>73.09999999999999</v>
      </c>
      <c r="L14" s="8" t="n">
        <v>83.2</v>
      </c>
      <c r="M14" s="8" t="n">
        <v>84.09999999999999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161.9</v>
      </c>
      <c r="C16" s="8" t="n">
        <v>156.2</v>
      </c>
      <c r="D16" s="8" t="n">
        <v>259</v>
      </c>
      <c r="E16" s="8" t="n">
        <v>295.3</v>
      </c>
      <c r="F16" s="8" t="n">
        <v>371.5</v>
      </c>
      <c r="G16" s="8" t="n">
        <v>400.9</v>
      </c>
      <c r="H16" s="8" t="n">
        <v>409.9</v>
      </c>
      <c r="I16" s="8" t="n">
        <v>360</v>
      </c>
      <c r="J16" s="8" t="n">
        <v>278.5</v>
      </c>
      <c r="K16" s="8" t="n">
        <v>284.4</v>
      </c>
      <c r="L16" s="8" t="n">
        <v>159.6</v>
      </c>
      <c r="M16" s="8" t="n">
        <v>176.8</v>
      </c>
      <c r="N16" s="9">
        <f>SUM(B16:M16)</f>
        <v/>
      </c>
    </row>
    <row r="17">
      <c r="A17" s="7" t="inlineStr">
        <is>
          <t>Broj vedrih dana</t>
        </is>
      </c>
      <c r="B17" s="10" t="n">
        <v>3</v>
      </c>
      <c r="C17" s="10" t="n">
        <v>3</v>
      </c>
      <c r="D17" s="10" t="n">
        <v>13</v>
      </c>
      <c r="E17" s="10" t="n">
        <v>5</v>
      </c>
      <c r="F17" s="10" t="n">
        <v>3</v>
      </c>
      <c r="G17" s="10" t="n">
        <v>9</v>
      </c>
      <c r="H17" s="10" t="n">
        <v>13</v>
      </c>
      <c r="I17" s="10" t="n">
        <v>9</v>
      </c>
      <c r="J17" s="10" t="n">
        <v>1</v>
      </c>
      <c r="K17" s="10" t="n">
        <v>9</v>
      </c>
      <c r="L17" s="10" t="n">
        <v>2</v>
      </c>
      <c r="M17" s="10" t="n">
        <v>2</v>
      </c>
      <c r="N17" s="11">
        <f>SUM(B17:M17)</f>
        <v/>
      </c>
    </row>
    <row r="18">
      <c r="A18" s="7" t="inlineStr">
        <is>
          <t>Broj oblačnih dana</t>
        </is>
      </c>
      <c r="B18" s="10" t="n">
        <v>14</v>
      </c>
      <c r="C18" s="10" t="n">
        <v>13</v>
      </c>
      <c r="D18" s="10" t="n">
        <v>13</v>
      </c>
      <c r="E18" s="10" t="n">
        <v>11</v>
      </c>
      <c r="F18" s="10" t="n">
        <v>5</v>
      </c>
      <c r="G18" s="10" t="n">
        <v>3</v>
      </c>
      <c r="H18" s="10" t="n">
        <v>2</v>
      </c>
      <c r="I18" s="10" t="n">
        <v>8</v>
      </c>
      <c r="J18" s="10" t="n">
        <v>7</v>
      </c>
      <c r="K18" s="10" t="n">
        <v>7</v>
      </c>
      <c r="L18" s="10" t="n">
        <v>16</v>
      </c>
      <c r="M18" s="10" t="n">
        <v>15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47.3</v>
      </c>
      <c r="C20" s="8" t="n">
        <v>81.2</v>
      </c>
      <c r="D20" s="8" t="n">
        <v>37.2</v>
      </c>
      <c r="E20" s="8" t="n">
        <v>59.2</v>
      </c>
      <c r="F20" s="8" t="n">
        <v>85.59999999999999</v>
      </c>
      <c r="G20" s="8" t="n">
        <v>61.3</v>
      </c>
      <c r="H20" s="8" t="n">
        <v>36.9</v>
      </c>
      <c r="I20" s="8" t="n">
        <v>68.2</v>
      </c>
      <c r="J20" s="8" t="n">
        <v>74.8</v>
      </c>
      <c r="K20" s="8" t="n">
        <v>13.7</v>
      </c>
      <c r="L20" s="8" t="n">
        <v>115.5</v>
      </c>
      <c r="M20" s="8" t="n">
        <v>82.8</v>
      </c>
      <c r="N20" s="9">
        <f>SUM(B20:M20)</f>
        <v/>
      </c>
    </row>
    <row r="21">
      <c r="A21" s="7" t="inlineStr">
        <is>
          <t>Max. dnevna suma</t>
        </is>
      </c>
      <c r="B21" s="8" t="n">
        <v>8.300000000000001</v>
      </c>
      <c r="C21" s="8" t="n">
        <v>14.3</v>
      </c>
      <c r="D21" s="8" t="n">
        <v>10.8</v>
      </c>
      <c r="E21" s="8" t="n">
        <v>18.5</v>
      </c>
      <c r="F21" s="8" t="n">
        <v>16</v>
      </c>
      <c r="G21" s="8" t="n">
        <v>11</v>
      </c>
      <c r="H21" s="8" t="n">
        <v>13.3</v>
      </c>
      <c r="I21" s="8" t="n">
        <v>16.3</v>
      </c>
      <c r="J21" s="8" t="n">
        <v>18.6</v>
      </c>
      <c r="K21" s="8" t="n">
        <v>4.1</v>
      </c>
      <c r="L21" s="8" t="n">
        <v>48.2</v>
      </c>
      <c r="M21" s="8" t="n">
        <v>17.8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21</v>
      </c>
      <c r="C22" s="10" t="n">
        <v>19</v>
      </c>
      <c r="D22" s="10" t="n">
        <v>13</v>
      </c>
      <c r="E22" s="10" t="n">
        <v>20</v>
      </c>
      <c r="F22" s="10" t="n">
        <v>22</v>
      </c>
      <c r="G22" s="10" t="n">
        <v>22</v>
      </c>
      <c r="H22" s="10" t="n">
        <v>14</v>
      </c>
      <c r="I22" s="10" t="n">
        <v>21</v>
      </c>
      <c r="J22" s="10" t="n">
        <v>22</v>
      </c>
      <c r="K22" s="10" t="n">
        <v>11</v>
      </c>
      <c r="L22" s="10" t="n">
        <v>20</v>
      </c>
      <c r="M22" s="10" t="n">
        <v>17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0</v>
      </c>
      <c r="C23" s="10" t="n">
        <v>4</v>
      </c>
      <c r="D23" s="10" t="n">
        <v>1</v>
      </c>
      <c r="E23" s="10" t="n">
        <v>1</v>
      </c>
      <c r="F23" s="10" t="n">
        <v>2</v>
      </c>
      <c r="G23" s="10" t="n">
        <v>1</v>
      </c>
      <c r="H23" s="10" t="n">
        <v>1</v>
      </c>
      <c r="I23" s="10" t="n">
        <v>3</v>
      </c>
      <c r="J23" s="10" t="n">
        <v>3</v>
      </c>
      <c r="K23" s="10" t="n">
        <v>0</v>
      </c>
      <c r="L23" s="10" t="n">
        <v>5</v>
      </c>
      <c r="M23" s="10" t="n">
        <v>4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19</v>
      </c>
      <c r="C25" s="10" t="n">
        <v>18</v>
      </c>
      <c r="D25" s="10" t="n">
        <v>10</v>
      </c>
      <c r="E25" s="10" t="n">
        <v>9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1</v>
      </c>
      <c r="K25" s="10" t="n">
        <v>0</v>
      </c>
      <c r="L25" s="10" t="n">
        <v>7</v>
      </c>
      <c r="M25" s="10" t="n">
        <v>8</v>
      </c>
      <c r="N25" s="11">
        <f>SUM(B25:M25)</f>
        <v/>
      </c>
    </row>
    <row r="26">
      <c r="A26" s="7" t="inlineStr">
        <is>
          <t>snežnim pokrivačem</t>
        </is>
      </c>
      <c r="B26" s="10" t="n">
        <v>19</v>
      </c>
      <c r="C26" s="10" t="n">
        <v>18</v>
      </c>
      <c r="D26" s="10" t="n">
        <v>10</v>
      </c>
      <c r="E26" s="10" t="n">
        <v>9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1</v>
      </c>
      <c r="K26" s="10" t="n">
        <v>0</v>
      </c>
      <c r="L26" s="10" t="n">
        <v>7</v>
      </c>
      <c r="M26" s="10" t="n">
        <v>8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2023. GODINU</t>
        </is>
      </c>
    </row>
    <row r="2">
      <c r="A2" s="2" t="inlineStr">
        <is>
          <t>SJENICA  φ 43.27°N  λ 19.99°E  h 1038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1.2</v>
      </c>
      <c r="C6" s="8" t="n">
        <v>-1.2</v>
      </c>
      <c r="D6" s="8" t="n">
        <v>4.3</v>
      </c>
      <c r="E6" s="8" t="n">
        <v>4.6</v>
      </c>
      <c r="F6" s="8" t="n">
        <v>11.6</v>
      </c>
      <c r="G6" s="8" t="n">
        <v>15.3</v>
      </c>
      <c r="H6" s="8" t="n">
        <v>19.8</v>
      </c>
      <c r="I6" s="8" t="n">
        <v>18.1</v>
      </c>
      <c r="J6" s="8" t="n">
        <v>15.8</v>
      </c>
      <c r="K6" s="8" t="n">
        <v>12</v>
      </c>
      <c r="L6" s="8" t="n">
        <v>4.5</v>
      </c>
      <c r="M6" s="8" t="n">
        <v>2.1</v>
      </c>
      <c r="N6" s="9">
        <f>AVERAGE(B6:M6)</f>
        <v/>
      </c>
    </row>
    <row r="7">
      <c r="A7" s="7" t="inlineStr">
        <is>
          <t>Srednja maksimalna</t>
        </is>
      </c>
      <c r="B7" s="8" t="n">
        <v>4.7</v>
      </c>
      <c r="C7" s="8" t="n">
        <v>4.1</v>
      </c>
      <c r="D7" s="8" t="n">
        <v>9.699999999999999</v>
      </c>
      <c r="E7" s="8" t="n">
        <v>9.1</v>
      </c>
      <c r="F7" s="8" t="n">
        <v>16.1</v>
      </c>
      <c r="G7" s="8" t="n">
        <v>19.8</v>
      </c>
      <c r="H7" s="8" t="n">
        <v>25.9</v>
      </c>
      <c r="I7" s="8" t="n">
        <v>24</v>
      </c>
      <c r="J7" s="8" t="n">
        <v>21.8</v>
      </c>
      <c r="K7" s="8" t="n">
        <v>17.8</v>
      </c>
      <c r="L7" s="8" t="n">
        <v>9.199999999999999</v>
      </c>
      <c r="M7" s="8" t="n">
        <v>7.4</v>
      </c>
      <c r="N7" s="9">
        <f>AVERAGE(B7:M7)</f>
        <v/>
      </c>
    </row>
    <row r="8">
      <c r="A8" s="7" t="inlineStr">
        <is>
          <t>Srednja minimalna</t>
        </is>
      </c>
      <c r="B8" s="8" t="n">
        <v>-1.5</v>
      </c>
      <c r="C8" s="8" t="n">
        <v>-5.9</v>
      </c>
      <c r="D8" s="8" t="n">
        <v>-0.2</v>
      </c>
      <c r="E8" s="8" t="n">
        <v>0.3</v>
      </c>
      <c r="F8" s="8" t="n">
        <v>7.5</v>
      </c>
      <c r="G8" s="8" t="n">
        <v>11</v>
      </c>
      <c r="H8" s="8" t="n">
        <v>13.7</v>
      </c>
      <c r="I8" s="8" t="n">
        <v>12.6</v>
      </c>
      <c r="J8" s="8" t="n">
        <v>11</v>
      </c>
      <c r="K8" s="8" t="n">
        <v>7</v>
      </c>
      <c r="L8" s="8" t="n">
        <v>0.3</v>
      </c>
      <c r="M8" s="8" t="n">
        <v>-1.2</v>
      </c>
      <c r="N8" s="9">
        <f>AVERAGE(B8:M8)</f>
        <v/>
      </c>
    </row>
    <row r="9">
      <c r="A9" s="7" t="inlineStr">
        <is>
          <t>Apsolutni maksimum</t>
        </is>
      </c>
      <c r="B9" s="8" t="n">
        <v>12.7</v>
      </c>
      <c r="C9" s="8" t="n">
        <v>13.4</v>
      </c>
      <c r="D9" s="8" t="n">
        <v>17.9</v>
      </c>
      <c r="E9" s="8" t="n">
        <v>16</v>
      </c>
      <c r="F9" s="8" t="n">
        <v>19.5</v>
      </c>
      <c r="G9" s="8" t="n">
        <v>28.7</v>
      </c>
      <c r="H9" s="8" t="n">
        <v>32.2</v>
      </c>
      <c r="I9" s="8" t="n">
        <v>30.2</v>
      </c>
      <c r="J9" s="8" t="n">
        <v>26.6</v>
      </c>
      <c r="K9" s="8" t="n">
        <v>21.5</v>
      </c>
      <c r="L9" s="8" t="n">
        <v>15.1</v>
      </c>
      <c r="M9" s="8" t="n">
        <v>13.4</v>
      </c>
      <c r="N9" s="9">
        <f>MAX(B9:M9)</f>
        <v/>
      </c>
    </row>
    <row r="10">
      <c r="A10" s="7" t="inlineStr">
        <is>
          <t>Apsolutni minimum</t>
        </is>
      </c>
      <c r="B10" s="8" t="n">
        <v>-5.8</v>
      </c>
      <c r="C10" s="8" t="n">
        <v>-17.7</v>
      </c>
      <c r="D10" s="8" t="n">
        <v>-4.8</v>
      </c>
      <c r="E10" s="8" t="n">
        <v>-13.4</v>
      </c>
      <c r="F10" s="8" t="n">
        <v>3.8</v>
      </c>
      <c r="G10" s="8" t="n">
        <v>8.300000000000001</v>
      </c>
      <c r="H10" s="8" t="n">
        <v>8.6</v>
      </c>
      <c r="I10" s="8" t="n">
        <v>5.9</v>
      </c>
      <c r="J10" s="8" t="n">
        <v>7.5</v>
      </c>
      <c r="K10" s="8" t="n">
        <v>-0.1</v>
      </c>
      <c r="L10" s="8" t="n">
        <v>-13.9</v>
      </c>
      <c r="M10" s="8" t="n">
        <v>-5.6</v>
      </c>
      <c r="N10" s="9">
        <f>MIN(B10:M10)</f>
        <v/>
      </c>
    </row>
    <row r="11">
      <c r="A11" s="7" t="inlineStr">
        <is>
          <t>Sr. br. mraznih dana</t>
        </is>
      </c>
      <c r="B11" s="10" t="n">
        <v>23</v>
      </c>
      <c r="C11" s="10" t="n">
        <v>22</v>
      </c>
      <c r="D11" s="10" t="n">
        <v>15</v>
      </c>
      <c r="E11" s="10" t="n">
        <v>10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1</v>
      </c>
      <c r="L11" s="10" t="n">
        <v>13</v>
      </c>
      <c r="M11" s="10" t="n">
        <v>26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4</v>
      </c>
      <c r="I12" s="10" t="n">
        <v>2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86.3</v>
      </c>
      <c r="C14" s="8" t="n">
        <v>79.40000000000001</v>
      </c>
      <c r="D14" s="8" t="n">
        <v>73</v>
      </c>
      <c r="E14" s="8" t="n">
        <v>79.3</v>
      </c>
      <c r="F14" s="8" t="n">
        <v>79.59999999999999</v>
      </c>
      <c r="G14" s="8" t="n">
        <v>81.59999999999999</v>
      </c>
      <c r="H14" s="8" t="n">
        <v>70.3</v>
      </c>
      <c r="I14" s="8" t="n">
        <v>74.2</v>
      </c>
      <c r="J14" s="8" t="n">
        <v>74.3</v>
      </c>
      <c r="K14" s="8" t="n">
        <v>76.5</v>
      </c>
      <c r="L14" s="8" t="n">
        <v>84.40000000000001</v>
      </c>
      <c r="M14" s="8" t="n">
        <v>82.2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135.4</v>
      </c>
      <c r="C16" s="8" t="n">
        <v>198.5</v>
      </c>
      <c r="D16" s="8" t="n">
        <v>264.8</v>
      </c>
      <c r="E16" s="8" t="n">
        <v>222.6</v>
      </c>
      <c r="F16" s="8" t="n">
        <v>322.9</v>
      </c>
      <c r="G16" s="8" t="n">
        <v>302.4</v>
      </c>
      <c r="H16" s="8" t="n">
        <v>425.1</v>
      </c>
      <c r="I16" s="8" t="n">
        <v>378.5</v>
      </c>
      <c r="J16" s="8" t="n">
        <v>314.7</v>
      </c>
      <c r="K16" s="8" t="n">
        <v>283.9</v>
      </c>
      <c r="L16" s="8" t="n">
        <v>155.6</v>
      </c>
      <c r="M16" s="8" t="n">
        <v>174.7</v>
      </c>
      <c r="N16" s="9">
        <f>SUM(B16:M16)</f>
        <v/>
      </c>
    </row>
    <row r="17">
      <c r="A17" s="7" t="inlineStr">
        <is>
          <t>Broj vedrih dana</t>
        </is>
      </c>
      <c r="B17" s="10" t="n">
        <v>3</v>
      </c>
      <c r="C17" s="10" t="n">
        <v>2</v>
      </c>
      <c r="D17" s="10" t="n">
        <v>3</v>
      </c>
      <c r="E17" s="10" t="n">
        <v>0</v>
      </c>
      <c r="F17" s="10" t="n">
        <v>0</v>
      </c>
      <c r="G17" s="10" t="n">
        <v>3</v>
      </c>
      <c r="H17" s="10" t="n">
        <v>12</v>
      </c>
      <c r="I17" s="10" t="n">
        <v>8</v>
      </c>
      <c r="J17" s="10" t="n">
        <v>9</v>
      </c>
      <c r="K17" s="10" t="n">
        <v>6</v>
      </c>
      <c r="L17" s="10" t="n">
        <v>1</v>
      </c>
      <c r="M17" s="10" t="n">
        <v>5</v>
      </c>
      <c r="N17" s="11">
        <f>SUM(B17:M17)</f>
        <v/>
      </c>
    </row>
    <row r="18">
      <c r="A18" s="7" t="inlineStr">
        <is>
          <t>Broj oblačnih dana</t>
        </is>
      </c>
      <c r="B18" s="10" t="n">
        <v>21</v>
      </c>
      <c r="C18" s="10" t="n">
        <v>12</v>
      </c>
      <c r="D18" s="10" t="n">
        <v>14</v>
      </c>
      <c r="E18" s="10" t="n">
        <v>14</v>
      </c>
      <c r="F18" s="10" t="n">
        <v>19</v>
      </c>
      <c r="G18" s="10" t="n">
        <v>15</v>
      </c>
      <c r="H18" s="10" t="n">
        <v>0</v>
      </c>
      <c r="I18" s="10" t="n">
        <v>1</v>
      </c>
      <c r="J18" s="10" t="n">
        <v>5</v>
      </c>
      <c r="K18" s="10" t="n">
        <v>7</v>
      </c>
      <c r="L18" s="10" t="n">
        <v>16</v>
      </c>
      <c r="M18" s="10" t="n">
        <v>13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136.9</v>
      </c>
      <c r="C20" s="8" t="n">
        <v>55.5</v>
      </c>
      <c r="D20" s="8" t="n">
        <v>49.4</v>
      </c>
      <c r="E20" s="8" t="n">
        <v>86.3</v>
      </c>
      <c r="F20" s="8" t="n">
        <v>67.5</v>
      </c>
      <c r="G20" s="8" t="n">
        <v>103.4</v>
      </c>
      <c r="H20" s="8" t="n">
        <v>56.7</v>
      </c>
      <c r="I20" s="8" t="n">
        <v>54.6</v>
      </c>
      <c r="J20" s="8" t="n">
        <v>76.09999999999999</v>
      </c>
      <c r="K20" s="8" t="n">
        <v>24.7</v>
      </c>
      <c r="L20" s="8" t="n">
        <v>169.9</v>
      </c>
      <c r="M20" s="8" t="n">
        <v>65.09999999999999</v>
      </c>
      <c r="N20" s="9">
        <f>SUM(B20:M20)</f>
        <v/>
      </c>
    </row>
    <row r="21">
      <c r="A21" s="7" t="inlineStr">
        <is>
          <t>Max. dnevna suma</t>
        </is>
      </c>
      <c r="B21" s="8" t="n">
        <v>32.4</v>
      </c>
      <c r="C21" s="8" t="n">
        <v>15.4</v>
      </c>
      <c r="D21" s="8" t="n">
        <v>12.3</v>
      </c>
      <c r="E21" s="8" t="n">
        <v>16.3</v>
      </c>
      <c r="F21" s="8" t="n">
        <v>6.6</v>
      </c>
      <c r="G21" s="8" t="n">
        <v>13.4</v>
      </c>
      <c r="H21" s="8" t="n">
        <v>17</v>
      </c>
      <c r="I21" s="8" t="n">
        <v>15.9</v>
      </c>
      <c r="J21" s="8" t="n">
        <v>34</v>
      </c>
      <c r="K21" s="8" t="n">
        <v>6.5</v>
      </c>
      <c r="L21" s="8" t="n">
        <v>39.2</v>
      </c>
      <c r="M21" s="8" t="n">
        <v>19.3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21</v>
      </c>
      <c r="C22" s="10" t="n">
        <v>17</v>
      </c>
      <c r="D22" s="10" t="n">
        <v>18</v>
      </c>
      <c r="E22" s="10" t="n">
        <v>24</v>
      </c>
      <c r="F22" s="10" t="n">
        <v>26</v>
      </c>
      <c r="G22" s="10" t="n">
        <v>27</v>
      </c>
      <c r="H22" s="10" t="n">
        <v>18</v>
      </c>
      <c r="I22" s="10" t="n">
        <v>19</v>
      </c>
      <c r="J22" s="10" t="n">
        <v>12</v>
      </c>
      <c r="K22" s="10" t="n">
        <v>16</v>
      </c>
      <c r="L22" s="10" t="n">
        <v>20</v>
      </c>
      <c r="M22" s="10" t="n">
        <v>14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6</v>
      </c>
      <c r="C23" s="10" t="n">
        <v>2</v>
      </c>
      <c r="D23" s="10" t="n">
        <v>1</v>
      </c>
      <c r="E23" s="10" t="n">
        <v>1</v>
      </c>
      <c r="F23" s="10" t="n">
        <v>0</v>
      </c>
      <c r="G23" s="10" t="n">
        <v>2</v>
      </c>
      <c r="H23" s="10" t="n">
        <v>2</v>
      </c>
      <c r="I23" s="10" t="n">
        <v>2</v>
      </c>
      <c r="J23" s="10" t="n">
        <v>3</v>
      </c>
      <c r="K23" s="10" t="n">
        <v>0</v>
      </c>
      <c r="L23" s="10" t="n">
        <v>6</v>
      </c>
      <c r="M23" s="10" t="n">
        <v>2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18</v>
      </c>
      <c r="C25" s="10" t="n">
        <v>15</v>
      </c>
      <c r="D25" s="10" t="n">
        <v>12</v>
      </c>
      <c r="E25" s="10" t="n">
        <v>11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8</v>
      </c>
      <c r="M25" s="10" t="n">
        <v>11</v>
      </c>
      <c r="N25" s="11">
        <f>SUM(B25:M25)</f>
        <v/>
      </c>
    </row>
    <row r="26">
      <c r="A26" s="7" t="inlineStr">
        <is>
          <t>snežnim pokrivačem</t>
        </is>
      </c>
      <c r="B26" s="10" t="n">
        <v>18</v>
      </c>
      <c r="C26" s="10" t="n">
        <v>15</v>
      </c>
      <c r="D26" s="10" t="n">
        <v>12</v>
      </c>
      <c r="E26" s="10" t="n">
        <v>11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8</v>
      </c>
      <c r="M26" s="10" t="n">
        <v>11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2024. GODINU</t>
        </is>
      </c>
    </row>
    <row r="2">
      <c r="A2" s="2" t="inlineStr">
        <is>
          <t>SJENICA  φ 43.27°N  λ 19.99°E  h 1038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-0.3</v>
      </c>
      <c r="C6" s="8" t="n">
        <v>3.8</v>
      </c>
      <c r="D6" s="8" t="n">
        <v>5.6</v>
      </c>
      <c r="E6" s="8" t="n">
        <v>9.699999999999999</v>
      </c>
      <c r="F6" s="8" t="n">
        <v>12.6</v>
      </c>
      <c r="G6" s="8" t="n">
        <v>18.9</v>
      </c>
      <c r="H6" s="8" t="n">
        <v>20.4</v>
      </c>
      <c r="I6" s="8" t="n">
        <v>20.9</v>
      </c>
      <c r="J6" s="8" t="n">
        <v>14.4</v>
      </c>
      <c r="K6" s="8" t="n">
        <v>11.1</v>
      </c>
      <c r="L6" s="8" t="n">
        <v>1.9</v>
      </c>
      <c r="M6" s="8" t="n">
        <v>-1.2</v>
      </c>
      <c r="N6" s="9">
        <f>AVERAGE(B6:M6)</f>
        <v/>
      </c>
    </row>
    <row r="7">
      <c r="A7" s="7" t="inlineStr">
        <is>
          <t>Srednja maksimalna</t>
        </is>
      </c>
      <c r="B7" s="8" t="n">
        <v>4</v>
      </c>
      <c r="C7" s="8" t="n">
        <v>9.300000000000001</v>
      </c>
      <c r="D7" s="8" t="n">
        <v>11.2</v>
      </c>
      <c r="E7" s="8" t="n">
        <v>15.8</v>
      </c>
      <c r="F7" s="8" t="n">
        <v>17.7</v>
      </c>
      <c r="G7" s="8" t="n">
        <v>24.6</v>
      </c>
      <c r="H7" s="8" t="n">
        <v>26.2</v>
      </c>
      <c r="I7" s="8" t="n">
        <v>26.9</v>
      </c>
      <c r="J7" s="8" t="n">
        <v>20</v>
      </c>
      <c r="K7" s="8" t="n">
        <v>17.4</v>
      </c>
      <c r="L7" s="8" t="n">
        <v>7.2</v>
      </c>
      <c r="M7" s="8" t="n">
        <v>2.2</v>
      </c>
      <c r="N7" s="9">
        <f>AVERAGE(B7:M7)</f>
        <v/>
      </c>
    </row>
    <row r="8">
      <c r="A8" s="7" t="inlineStr">
        <is>
          <t>Srednja minimalna</t>
        </is>
      </c>
      <c r="B8" s="8" t="n">
        <v>-3.8</v>
      </c>
      <c r="C8" s="8" t="n">
        <v>-0.3</v>
      </c>
      <c r="D8" s="8" t="n">
        <v>0.6</v>
      </c>
      <c r="E8" s="8" t="n">
        <v>3.7</v>
      </c>
      <c r="F8" s="8" t="n">
        <v>7.5</v>
      </c>
      <c r="G8" s="8" t="n">
        <v>12.9</v>
      </c>
      <c r="H8" s="8" t="n">
        <v>14.8</v>
      </c>
      <c r="I8" s="8" t="n">
        <v>15.2</v>
      </c>
      <c r="J8" s="8" t="n">
        <v>9.6</v>
      </c>
      <c r="K8" s="8" t="n">
        <v>5.9</v>
      </c>
      <c r="L8" s="8" t="n">
        <v>-2.2</v>
      </c>
      <c r="M8" s="8" t="n">
        <v>-4.4</v>
      </c>
      <c r="N8" s="9">
        <f>AVERAGE(B8:M8)</f>
        <v/>
      </c>
    </row>
    <row r="9">
      <c r="A9" s="7" t="inlineStr">
        <is>
          <t>Apsolutni maksimum</t>
        </is>
      </c>
      <c r="B9" s="8" t="n">
        <v>10.7</v>
      </c>
      <c r="C9" s="8" t="n">
        <v>13.6</v>
      </c>
      <c r="D9" s="8" t="n">
        <v>19.4</v>
      </c>
      <c r="E9" s="8" t="n">
        <v>23.3</v>
      </c>
      <c r="F9" s="8" t="n">
        <v>21.7</v>
      </c>
      <c r="G9" s="8" t="n">
        <v>30.7</v>
      </c>
      <c r="H9" s="8" t="n">
        <v>32.8</v>
      </c>
      <c r="I9" s="8" t="n">
        <v>32.8</v>
      </c>
      <c r="J9" s="8" t="n">
        <v>28.3</v>
      </c>
      <c r="K9" s="8" t="n">
        <v>21.5</v>
      </c>
      <c r="L9" s="8" t="n">
        <v>14.2</v>
      </c>
      <c r="M9" s="8" t="n">
        <v>7.2</v>
      </c>
      <c r="N9" s="9">
        <f>MAX(B9:M9)</f>
        <v/>
      </c>
    </row>
    <row r="10">
      <c r="A10" s="7" t="inlineStr">
        <is>
          <t>Apsolutni minimum</t>
        </is>
      </c>
      <c r="B10" s="8" t="n">
        <v>-12.2</v>
      </c>
      <c r="C10" s="8" t="n">
        <v>-4.9</v>
      </c>
      <c r="D10" s="8" t="n">
        <v>-4.6</v>
      </c>
      <c r="E10" s="8" t="n">
        <v>-3.2</v>
      </c>
      <c r="F10" s="8" t="n">
        <v>3.9</v>
      </c>
      <c r="G10" s="8" t="n">
        <v>8.4</v>
      </c>
      <c r="H10" s="8" t="n">
        <v>9.6</v>
      </c>
      <c r="I10" s="8" t="n">
        <v>10.9</v>
      </c>
      <c r="J10" s="8" t="n">
        <v>3</v>
      </c>
      <c r="K10" s="8" t="n">
        <v>-0.1</v>
      </c>
      <c r="L10" s="8" t="n">
        <v>-9</v>
      </c>
      <c r="M10" s="8" t="n">
        <v>-11.2</v>
      </c>
      <c r="N10" s="9">
        <f>MIN(B10:M10)</f>
        <v/>
      </c>
    </row>
    <row r="11">
      <c r="A11" s="7" t="inlineStr">
        <is>
          <t>Sr. br. mraznih dana</t>
        </is>
      </c>
      <c r="B11" s="10" t="n">
        <v>26</v>
      </c>
      <c r="C11" s="10" t="n">
        <v>18</v>
      </c>
      <c r="D11" s="10" t="n">
        <v>13</v>
      </c>
      <c r="E11" s="10" t="n">
        <v>6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1</v>
      </c>
      <c r="L11" s="10" t="n">
        <v>26</v>
      </c>
      <c r="M11" s="10" t="n">
        <v>30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1</v>
      </c>
      <c r="H12" s="10" t="n">
        <v>6</v>
      </c>
      <c r="I12" s="10" t="n">
        <v>5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80.59999999999999</v>
      </c>
      <c r="C14" s="8" t="n">
        <v>76.7</v>
      </c>
      <c r="D14" s="8" t="n">
        <v>74.59999999999999</v>
      </c>
      <c r="E14" s="8" t="n">
        <v>66.7</v>
      </c>
      <c r="F14" s="8" t="n">
        <v>76.7</v>
      </c>
      <c r="G14" s="8" t="n">
        <v>71.2</v>
      </c>
      <c r="H14" s="8" t="n">
        <v>66.59999999999999</v>
      </c>
      <c r="I14" s="8" t="n">
        <v>61.6</v>
      </c>
      <c r="J14" s="8" t="n">
        <v>73.09999999999999</v>
      </c>
      <c r="K14" s="8" t="n">
        <v>77.40000000000001</v>
      </c>
      <c r="L14" s="8" t="n">
        <v>80.7</v>
      </c>
      <c r="M14" s="8" t="n">
        <v>90.90000000000001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179.2</v>
      </c>
      <c r="C16" s="8" t="n">
        <v>228</v>
      </c>
      <c r="D16" s="8" t="n">
        <v>282.3</v>
      </c>
      <c r="E16" s="8" t="n">
        <v>329.7</v>
      </c>
      <c r="F16" s="8" t="n">
        <v>369.4</v>
      </c>
      <c r="G16" s="8" t="n">
        <v>416.1</v>
      </c>
      <c r="H16" s="8" t="n">
        <v>423.8</v>
      </c>
      <c r="I16" s="8" t="n">
        <v>392.9</v>
      </c>
      <c r="J16" s="8" t="n">
        <v>261</v>
      </c>
      <c r="K16" s="8" t="n">
        <v>283.5</v>
      </c>
      <c r="L16" s="8" t="n">
        <v>207.6</v>
      </c>
      <c r="M16" s="8" t="n">
        <v>128.8</v>
      </c>
      <c r="N16" s="9">
        <f>SUM(B16:M16)</f>
        <v/>
      </c>
    </row>
    <row r="17">
      <c r="A17" s="7" t="inlineStr">
        <is>
          <t>Broj vedrih dana</t>
        </is>
      </c>
      <c r="B17" s="10" t="n">
        <v>4</v>
      </c>
      <c r="C17" s="10" t="n">
        <v>4</v>
      </c>
      <c r="D17" s="10" t="n">
        <v>1</v>
      </c>
      <c r="E17" s="10" t="n">
        <v>3</v>
      </c>
      <c r="F17" s="10" t="n">
        <v>1</v>
      </c>
      <c r="G17" s="10" t="n">
        <v>7</v>
      </c>
      <c r="H17" s="10" t="n">
        <v>21</v>
      </c>
      <c r="I17" s="10" t="n">
        <v>9</v>
      </c>
      <c r="J17" s="10" t="n">
        <v>5</v>
      </c>
      <c r="K17" s="10" t="n">
        <v>3</v>
      </c>
      <c r="L17" s="10" t="n">
        <v>4</v>
      </c>
      <c r="M17" s="10" t="n">
        <v>4</v>
      </c>
      <c r="N17" s="11">
        <f>SUM(B17:M17)</f>
        <v/>
      </c>
    </row>
    <row r="18">
      <c r="A18" s="7" t="inlineStr">
        <is>
          <t>Broj oblačnih dana</t>
        </is>
      </c>
      <c r="B18" s="10" t="n">
        <v>15</v>
      </c>
      <c r="C18" s="10" t="n">
        <v>12</v>
      </c>
      <c r="D18" s="10" t="n">
        <v>10</v>
      </c>
      <c r="E18" s="10" t="n">
        <v>6</v>
      </c>
      <c r="F18" s="10" t="n">
        <v>9</v>
      </c>
      <c r="G18" s="10" t="n">
        <v>0</v>
      </c>
      <c r="H18" s="10" t="n">
        <v>2</v>
      </c>
      <c r="I18" s="10" t="n">
        <v>1</v>
      </c>
      <c r="J18" s="10" t="n">
        <v>9</v>
      </c>
      <c r="K18" s="10" t="n">
        <v>6</v>
      </c>
      <c r="L18" s="10" t="n">
        <v>11</v>
      </c>
      <c r="M18" s="10" t="n">
        <v>18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45.5</v>
      </c>
      <c r="C20" s="8" t="n">
        <v>31.9</v>
      </c>
      <c r="D20" s="8" t="n">
        <v>60</v>
      </c>
      <c r="E20" s="8" t="n">
        <v>38.7</v>
      </c>
      <c r="F20" s="8" t="n">
        <v>95.3</v>
      </c>
      <c r="G20" s="8" t="n">
        <v>29.7</v>
      </c>
      <c r="H20" s="8" t="n">
        <v>31.5</v>
      </c>
      <c r="I20" s="8" t="n">
        <v>21.9</v>
      </c>
      <c r="J20" s="8" t="n">
        <v>93.7</v>
      </c>
      <c r="K20" s="8" t="n">
        <v>21.6</v>
      </c>
      <c r="L20" s="8" t="n">
        <v>109</v>
      </c>
      <c r="M20" s="8" t="n">
        <v>98</v>
      </c>
      <c r="N20" s="9">
        <f>SUM(B20:M20)</f>
        <v/>
      </c>
    </row>
    <row r="21">
      <c r="A21" s="7" t="inlineStr">
        <is>
          <t>Max. dnevna suma</t>
        </is>
      </c>
      <c r="B21" s="8" t="n">
        <v>14.4</v>
      </c>
      <c r="C21" s="8" t="n">
        <v>11.9</v>
      </c>
      <c r="D21" s="8" t="n">
        <v>14.3</v>
      </c>
      <c r="E21" s="8" t="n">
        <v>12.2</v>
      </c>
      <c r="F21" s="8" t="n">
        <v>16.5</v>
      </c>
      <c r="G21" s="8" t="n">
        <v>10.4</v>
      </c>
      <c r="H21" s="8" t="n">
        <v>22.3</v>
      </c>
      <c r="I21" s="8" t="n">
        <v>7</v>
      </c>
      <c r="J21" s="8" t="n">
        <v>31.1</v>
      </c>
      <c r="K21" s="8" t="n">
        <v>6.1</v>
      </c>
      <c r="L21" s="8" t="n">
        <v>39</v>
      </c>
      <c r="M21" s="8" t="n">
        <v>17.3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18</v>
      </c>
      <c r="C22" s="10" t="n">
        <v>13</v>
      </c>
      <c r="D22" s="10" t="n">
        <v>21</v>
      </c>
      <c r="E22" s="10" t="n">
        <v>10</v>
      </c>
      <c r="F22" s="10" t="n">
        <v>25</v>
      </c>
      <c r="G22" s="10" t="n">
        <v>18</v>
      </c>
      <c r="H22" s="10" t="n">
        <v>11</v>
      </c>
      <c r="I22" s="10" t="n">
        <v>14</v>
      </c>
      <c r="J22" s="10" t="n">
        <v>14</v>
      </c>
      <c r="K22" s="10" t="n">
        <v>10</v>
      </c>
      <c r="L22" s="10" t="n">
        <v>10</v>
      </c>
      <c r="M22" s="10" t="n">
        <v>19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</v>
      </c>
      <c r="C23" s="10" t="n">
        <v>1</v>
      </c>
      <c r="D23" s="10" t="n">
        <v>1</v>
      </c>
      <c r="E23" s="10" t="n">
        <v>2</v>
      </c>
      <c r="F23" s="10" t="n">
        <v>3</v>
      </c>
      <c r="G23" s="10" t="n">
        <v>1</v>
      </c>
      <c r="H23" s="10" t="n">
        <v>1</v>
      </c>
      <c r="I23" s="10" t="n">
        <v>0</v>
      </c>
      <c r="J23" s="10" t="n">
        <v>3</v>
      </c>
      <c r="K23" s="10" t="n">
        <v>0</v>
      </c>
      <c r="L23" s="10" t="n">
        <v>5</v>
      </c>
      <c r="M23" s="10" t="n">
        <v>5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13</v>
      </c>
      <c r="C25" s="10" t="n">
        <v>6</v>
      </c>
      <c r="D25" s="10" t="n">
        <v>8</v>
      </c>
      <c r="E25" s="10" t="n">
        <v>4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8</v>
      </c>
      <c r="M25" s="10" t="n">
        <v>15</v>
      </c>
      <c r="N25" s="11">
        <f>SUM(B25:M25)</f>
        <v/>
      </c>
    </row>
    <row r="26">
      <c r="A26" s="7" t="inlineStr">
        <is>
          <t>snežnim pokrivačem</t>
        </is>
      </c>
      <c r="B26" s="10" t="n">
        <v>13</v>
      </c>
      <c r="C26" s="10" t="n">
        <v>6</v>
      </c>
      <c r="D26" s="10" t="n">
        <v>8</v>
      </c>
      <c r="E26" s="10" t="n">
        <v>4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8</v>
      </c>
      <c r="M26" s="10" t="n">
        <v>15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2025. GODINU</t>
        </is>
      </c>
    </row>
    <row r="2">
      <c r="A2" s="2" t="inlineStr">
        <is>
          <t>SJENICA  φ 43.27°N  λ 19.99°E  h 1038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-0.2</v>
      </c>
      <c r="C6" s="8" t="n">
        <v>-0.7</v>
      </c>
      <c r="D6" s="8" t="n">
        <v>5.8</v>
      </c>
      <c r="E6" s="8" t="n">
        <v>7.7</v>
      </c>
      <c r="F6" s="8" t="n">
        <v>9.800000000000001</v>
      </c>
      <c r="G6" s="8" t="n">
        <v>17.4</v>
      </c>
      <c r="H6" s="8" t="n">
        <v>18.6</v>
      </c>
      <c r="I6" s="8" t="n">
        <v>17.9</v>
      </c>
      <c r="J6" s="8" t="n">
        <v>15.1</v>
      </c>
      <c r="K6" s="8" t="n">
        <v>6.7</v>
      </c>
      <c r="L6" s="8" t="n">
        <v>4.8</v>
      </c>
      <c r="M6" s="8" t="n">
        <v>1.2</v>
      </c>
      <c r="N6" s="9">
        <f>AVERAGE(B6:M6)</f>
        <v/>
      </c>
    </row>
    <row r="7">
      <c r="A7" s="7" t="inlineStr">
        <is>
          <t>Srednja maksimalna</t>
        </is>
      </c>
      <c r="B7" s="8" t="n">
        <v>4.7</v>
      </c>
      <c r="C7" s="8" t="n">
        <v>4.1</v>
      </c>
      <c r="D7" s="8" t="n">
        <v>11.2</v>
      </c>
      <c r="E7" s="8" t="n">
        <v>12.8</v>
      </c>
      <c r="F7" s="8" t="n">
        <v>14.8</v>
      </c>
      <c r="G7" s="8" t="n">
        <v>23.4</v>
      </c>
      <c r="H7" s="8" t="n">
        <v>24.4</v>
      </c>
      <c r="I7" s="8" t="n">
        <v>24</v>
      </c>
      <c r="J7" s="8" t="n">
        <v>20.9</v>
      </c>
      <c r="K7" s="8" t="n">
        <v>11.2</v>
      </c>
      <c r="L7" s="8" t="n">
        <v>9.4</v>
      </c>
      <c r="M7" s="8" t="n">
        <v>6.2</v>
      </c>
      <c r="N7" s="9">
        <f>AVERAGE(B7:M7)</f>
        <v/>
      </c>
    </row>
    <row r="8">
      <c r="A8" s="7" t="inlineStr">
        <is>
          <t>Srednja minimalna</t>
        </is>
      </c>
      <c r="B8" s="8" t="n">
        <v>-4</v>
      </c>
      <c r="C8" s="8" t="n">
        <v>-4.1</v>
      </c>
      <c r="D8" s="8" t="n">
        <v>1.6</v>
      </c>
      <c r="E8" s="8" t="n">
        <v>3.3</v>
      </c>
      <c r="F8" s="8" t="n">
        <v>4.9</v>
      </c>
      <c r="G8" s="8" t="n">
        <v>11</v>
      </c>
      <c r="H8" s="8" t="n">
        <v>12.8</v>
      </c>
      <c r="I8" s="8" t="n">
        <v>12.3</v>
      </c>
      <c r="J8" s="8" t="n">
        <v>9.9</v>
      </c>
      <c r="K8" s="8" t="n">
        <v>2.6</v>
      </c>
      <c r="L8" s="8" t="n">
        <v>1.2</v>
      </c>
      <c r="M8" s="8" t="n">
        <v>-1.7</v>
      </c>
      <c r="N8" s="9">
        <f>AVERAGE(B8:M8)</f>
        <v/>
      </c>
    </row>
    <row r="9">
      <c r="A9" s="7" t="inlineStr">
        <is>
          <t>Apsolutni maksimum</t>
        </is>
      </c>
      <c r="B9" s="8" t="n">
        <v>11.9</v>
      </c>
      <c r="C9" s="8" t="n">
        <v>10.3</v>
      </c>
      <c r="D9" s="8" t="n">
        <v>18.3</v>
      </c>
      <c r="E9" s="8" t="n">
        <v>20.8</v>
      </c>
      <c r="F9" s="8" t="n">
        <v>21.2</v>
      </c>
      <c r="G9" s="8" t="n">
        <v>28.7</v>
      </c>
      <c r="H9" s="8" t="n">
        <v>33.1</v>
      </c>
      <c r="I9" s="8" t="n">
        <v>30.9</v>
      </c>
      <c r="J9" s="8" t="n">
        <v>26.6</v>
      </c>
      <c r="K9" s="8" t="n">
        <v>16.8</v>
      </c>
      <c r="L9" s="8" t="n">
        <v>17.7</v>
      </c>
      <c r="M9" s="8" t="n">
        <v>11.8</v>
      </c>
      <c r="N9" s="9">
        <f>MAX(B9:M9)</f>
        <v/>
      </c>
    </row>
    <row r="10">
      <c r="A10" s="7" t="inlineStr">
        <is>
          <t>Apsolutni minimum</t>
        </is>
      </c>
      <c r="B10" s="8" t="n">
        <v>-12.5</v>
      </c>
      <c r="C10" s="8" t="n">
        <v>-15.4</v>
      </c>
      <c r="D10" s="8" t="n">
        <v>-6.2</v>
      </c>
      <c r="E10" s="8" t="n">
        <v>-6.3</v>
      </c>
      <c r="F10" s="8" t="n">
        <v>-1</v>
      </c>
      <c r="G10" s="8" t="n">
        <v>6.2</v>
      </c>
      <c r="H10" s="8" t="n">
        <v>7.7</v>
      </c>
      <c r="I10" s="8" t="n">
        <v>7.9</v>
      </c>
      <c r="J10" s="8" t="n">
        <v>3.9</v>
      </c>
      <c r="K10" s="8" t="n">
        <v>-2.5</v>
      </c>
      <c r="L10" s="8" t="n">
        <v>-3.9</v>
      </c>
      <c r="M10" s="8" t="n">
        <v>-9.699999999999999</v>
      </c>
      <c r="N10" s="9">
        <f>MIN(B10:M10)</f>
        <v/>
      </c>
    </row>
    <row r="11">
      <c r="A11" s="7" t="inlineStr">
        <is>
          <t>Sr. br. mraznih dana</t>
        </is>
      </c>
      <c r="B11" s="10" t="n">
        <v>23</v>
      </c>
      <c r="C11" s="10" t="n">
        <v>25</v>
      </c>
      <c r="D11" s="10" t="n">
        <v>13</v>
      </c>
      <c r="E11" s="10" t="n">
        <v>6</v>
      </c>
      <c r="F11" s="10" t="n">
        <v>1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5</v>
      </c>
      <c r="L11" s="10" t="n">
        <v>10</v>
      </c>
      <c r="M11" s="10" t="n">
        <v>22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2</v>
      </c>
      <c r="I12" s="10" t="n">
        <v>1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85.2</v>
      </c>
      <c r="C14" s="8" t="n">
        <v>77.5</v>
      </c>
      <c r="D14" s="8" t="n">
        <v>70.5</v>
      </c>
      <c r="E14" s="8" t="n">
        <v>75.90000000000001</v>
      </c>
      <c r="F14" s="8" t="n">
        <v>78.7</v>
      </c>
      <c r="G14" s="8" t="n">
        <v>68.8</v>
      </c>
      <c r="H14" s="8" t="n">
        <v>67.09999999999999</v>
      </c>
      <c r="I14" s="8" t="n">
        <v>66.40000000000001</v>
      </c>
      <c r="J14" s="8" t="n">
        <v>74.90000000000001</v>
      </c>
      <c r="K14" s="8" t="n">
        <v>84.8</v>
      </c>
      <c r="L14" s="8" t="n">
        <v>85.7</v>
      </c>
      <c r="M14" s="8" t="n">
        <v>79.7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194</v>
      </c>
      <c r="C16" s="8" t="n">
        <v>184</v>
      </c>
      <c r="D16" s="8" t="n">
        <v>241.4</v>
      </c>
      <c r="E16" s="8" t="n">
        <v>284.5</v>
      </c>
      <c r="F16" s="8" t="n">
        <v>347.8</v>
      </c>
      <c r="G16" s="8" t="n">
        <v>433.4</v>
      </c>
      <c r="H16" s="8" t="n">
        <v>406.8</v>
      </c>
      <c r="I16" s="8" t="n">
        <v>380.5</v>
      </c>
      <c r="J16" s="8" t="n">
        <v>316.7</v>
      </c>
      <c r="K16" s="8" t="n">
        <v>203.7</v>
      </c>
      <c r="L16" s="8" t="n">
        <v>150.9</v>
      </c>
      <c r="M16" s="8" t="n">
        <v>184.4</v>
      </c>
      <c r="N16" s="9">
        <f>SUM(B16:M16)</f>
        <v/>
      </c>
    </row>
    <row r="17">
      <c r="A17" s="7" t="inlineStr">
        <is>
          <t>Broj vedrih dana</t>
        </is>
      </c>
      <c r="B17" s="10" t="n">
        <v>3</v>
      </c>
      <c r="C17" s="10" t="n">
        <v>5</v>
      </c>
      <c r="D17" s="10" t="n">
        <v>5</v>
      </c>
      <c r="E17" s="10" t="n">
        <v>3</v>
      </c>
      <c r="F17" s="10" t="n">
        <v>3</v>
      </c>
      <c r="G17" s="10" t="n">
        <v>23</v>
      </c>
      <c r="H17" s="10" t="n">
        <v>13</v>
      </c>
      <c r="I17" s="10" t="n">
        <v>12</v>
      </c>
      <c r="J17" s="10" t="n">
        <v>11</v>
      </c>
      <c r="K17" s="10" t="n">
        <v>1</v>
      </c>
      <c r="L17" s="10" t="n">
        <v>3</v>
      </c>
      <c r="M17" s="10" t="n">
        <v>5</v>
      </c>
      <c r="N17" s="11">
        <f>SUM(B17:M17)</f>
        <v/>
      </c>
    </row>
    <row r="18">
      <c r="A18" s="7" t="inlineStr">
        <is>
          <t>Broj oblačnih dana</t>
        </is>
      </c>
      <c r="B18" s="10" t="n">
        <v>13</v>
      </c>
      <c r="C18" s="10" t="n">
        <v>12</v>
      </c>
      <c r="D18" s="10" t="n">
        <v>17</v>
      </c>
      <c r="E18" s="10" t="n">
        <v>12</v>
      </c>
      <c r="F18" s="10" t="n">
        <v>6</v>
      </c>
      <c r="G18" s="10" t="n">
        <v>0</v>
      </c>
      <c r="H18" s="10" t="n">
        <v>3</v>
      </c>
      <c r="I18" s="10" t="n">
        <v>1</v>
      </c>
      <c r="J18" s="10" t="n">
        <v>6</v>
      </c>
      <c r="K18" s="10" t="n">
        <v>14</v>
      </c>
      <c r="L18" s="10" t="n">
        <v>17</v>
      </c>
      <c r="M18" s="10" t="n">
        <v>9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31.5</v>
      </c>
      <c r="C20" s="8" t="n">
        <v>17.3</v>
      </c>
      <c r="D20" s="8" t="n">
        <v>70.3</v>
      </c>
      <c r="E20" s="8" t="n">
        <v>98.09999999999999</v>
      </c>
      <c r="F20" s="8" t="n">
        <v>79.8</v>
      </c>
      <c r="G20" s="8" t="n">
        <v>9.300000000000001</v>
      </c>
      <c r="H20" s="8" t="n">
        <v>60.8</v>
      </c>
      <c r="I20" s="8" t="n">
        <v>25.9</v>
      </c>
      <c r="J20" s="8" t="n">
        <v>41.5</v>
      </c>
      <c r="K20" s="8" t="n">
        <v>119.9</v>
      </c>
      <c r="L20" s="8" t="n">
        <v>92.90000000000001</v>
      </c>
      <c r="M20" s="8" t="n">
        <v>8.1</v>
      </c>
      <c r="N20" s="9">
        <f>SUM(B20:M20)</f>
        <v/>
      </c>
    </row>
    <row r="21">
      <c r="A21" s="7" t="inlineStr">
        <is>
          <t>Max. dnevna suma</t>
        </is>
      </c>
      <c r="B21" s="8" t="n">
        <v>10.3</v>
      </c>
      <c r="C21" s="8" t="n">
        <v>4.5</v>
      </c>
      <c r="D21" s="8" t="n">
        <v>18.4</v>
      </c>
      <c r="E21" s="8" t="n">
        <v>11.5</v>
      </c>
      <c r="F21" s="8" t="n">
        <v>18.6</v>
      </c>
      <c r="G21" s="8" t="n">
        <v>6.3</v>
      </c>
      <c r="H21" s="8" t="n">
        <v>16.1</v>
      </c>
      <c r="I21" s="8" t="n">
        <v>6.2</v>
      </c>
      <c r="J21" s="8" t="n">
        <v>17.1</v>
      </c>
      <c r="K21" s="8" t="n">
        <v>25.7</v>
      </c>
      <c r="L21" s="8" t="n">
        <v>23.3</v>
      </c>
      <c r="M21" s="8" t="n">
        <v>2.4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13</v>
      </c>
      <c r="C22" s="10" t="n">
        <v>13</v>
      </c>
      <c r="D22" s="10" t="n">
        <v>18</v>
      </c>
      <c r="E22" s="10" t="n">
        <v>22</v>
      </c>
      <c r="F22" s="10" t="n">
        <v>25</v>
      </c>
      <c r="G22" s="10" t="n">
        <v>6</v>
      </c>
      <c r="H22" s="10" t="n">
        <v>16</v>
      </c>
      <c r="I22" s="10" t="n">
        <v>12</v>
      </c>
      <c r="J22" s="10" t="n">
        <v>12</v>
      </c>
      <c r="K22" s="10" t="n">
        <v>22</v>
      </c>
      <c r="L22" s="10" t="n">
        <v>20</v>
      </c>
      <c r="M22" s="10" t="n">
        <v>9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</v>
      </c>
      <c r="C23" s="10" t="n">
        <v>0</v>
      </c>
      <c r="D23" s="10" t="n">
        <v>1</v>
      </c>
      <c r="E23" s="10" t="n">
        <v>3</v>
      </c>
      <c r="F23" s="10" t="n">
        <v>2</v>
      </c>
      <c r="G23" s="10" t="n">
        <v>0</v>
      </c>
      <c r="H23" s="10" t="n">
        <v>1</v>
      </c>
      <c r="I23" s="10" t="n">
        <v>0</v>
      </c>
      <c r="J23" s="10" t="n">
        <v>1</v>
      </c>
      <c r="K23" s="10" t="n">
        <v>3</v>
      </c>
      <c r="L23" s="10" t="n">
        <v>2</v>
      </c>
      <c r="M23" s="10" t="n">
        <v>0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6</v>
      </c>
      <c r="C25" s="10" t="n">
        <v>7</v>
      </c>
      <c r="D25" s="10" t="n">
        <v>6</v>
      </c>
      <c r="E25" s="10" t="n">
        <v>8</v>
      </c>
      <c r="F25" s="10" t="n">
        <v>3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4</v>
      </c>
      <c r="L25" s="10" t="n">
        <v>10</v>
      </c>
      <c r="M25" s="10" t="n">
        <v>4</v>
      </c>
      <c r="N25" s="11">
        <f>SUM(B25:M25)</f>
        <v/>
      </c>
    </row>
    <row r="26">
      <c r="A26" s="7" t="inlineStr">
        <is>
          <t>snežnim pokrivačem</t>
        </is>
      </c>
      <c r="B26" s="10" t="n">
        <v>6</v>
      </c>
      <c r="C26" s="10" t="n">
        <v>7</v>
      </c>
      <c r="D26" s="10" t="n">
        <v>6</v>
      </c>
      <c r="E26" s="10" t="n">
        <v>8</v>
      </c>
      <c r="F26" s="10" t="n">
        <v>3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4</v>
      </c>
      <c r="L26" s="10" t="n">
        <v>10</v>
      </c>
      <c r="M26" s="10" t="n">
        <v>4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2026-08-22T15:06:13Z</dcterms:created>
  <dcterms:modified xmlns:dcterms="http://purl.org/dc/terms/" xmlns:xsi="http://www.w3.org/2001/XMLSchema-instance" xsi:type="dcterms:W3CDTF">2026-08-22T15:06:13Z</dcterms:modified>
</cp:coreProperties>
</file>