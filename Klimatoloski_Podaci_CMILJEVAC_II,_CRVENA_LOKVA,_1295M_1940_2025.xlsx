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ek 1940-2025" sheetId="1" state="visible" r:id="rId1"/>
    <sheet xmlns:r="http://schemas.openxmlformats.org/officeDocument/2006/relationships" name="1940" sheetId="2" state="visible" r:id="rId2"/>
    <sheet xmlns:r="http://schemas.openxmlformats.org/officeDocument/2006/relationships" name="1941" sheetId="3" state="visible" r:id="rId3"/>
    <sheet xmlns:r="http://schemas.openxmlformats.org/officeDocument/2006/relationships" name="1942" sheetId="4" state="visible" r:id="rId4"/>
    <sheet xmlns:r="http://schemas.openxmlformats.org/officeDocument/2006/relationships" name="1943" sheetId="5" state="visible" r:id="rId5"/>
    <sheet xmlns:r="http://schemas.openxmlformats.org/officeDocument/2006/relationships" name="1944" sheetId="6" state="visible" r:id="rId6"/>
    <sheet xmlns:r="http://schemas.openxmlformats.org/officeDocument/2006/relationships" name="1945" sheetId="7" state="visible" r:id="rId7"/>
    <sheet xmlns:r="http://schemas.openxmlformats.org/officeDocument/2006/relationships" name="1946" sheetId="8" state="visible" r:id="rId8"/>
    <sheet xmlns:r="http://schemas.openxmlformats.org/officeDocument/2006/relationships" name="1947" sheetId="9" state="visible" r:id="rId9"/>
    <sheet xmlns:r="http://schemas.openxmlformats.org/officeDocument/2006/relationships" name="1948" sheetId="10" state="visible" r:id="rId10"/>
    <sheet xmlns:r="http://schemas.openxmlformats.org/officeDocument/2006/relationships" name="1949" sheetId="11" state="visible" r:id="rId11"/>
    <sheet xmlns:r="http://schemas.openxmlformats.org/officeDocument/2006/relationships" name="1950" sheetId="12" state="visible" r:id="rId12"/>
    <sheet xmlns:r="http://schemas.openxmlformats.org/officeDocument/2006/relationships" name="1951" sheetId="13" state="visible" r:id="rId13"/>
    <sheet xmlns:r="http://schemas.openxmlformats.org/officeDocument/2006/relationships" name="1952" sheetId="14" state="visible" r:id="rId14"/>
    <sheet xmlns:r="http://schemas.openxmlformats.org/officeDocument/2006/relationships" name="1953" sheetId="15" state="visible" r:id="rId15"/>
    <sheet xmlns:r="http://schemas.openxmlformats.org/officeDocument/2006/relationships" name="1954" sheetId="16" state="visible" r:id="rId16"/>
    <sheet xmlns:r="http://schemas.openxmlformats.org/officeDocument/2006/relationships" name="1955" sheetId="17" state="visible" r:id="rId17"/>
    <sheet xmlns:r="http://schemas.openxmlformats.org/officeDocument/2006/relationships" name="1956" sheetId="18" state="visible" r:id="rId18"/>
    <sheet xmlns:r="http://schemas.openxmlformats.org/officeDocument/2006/relationships" name="1957" sheetId="19" state="visible" r:id="rId19"/>
    <sheet xmlns:r="http://schemas.openxmlformats.org/officeDocument/2006/relationships" name="1958" sheetId="20" state="visible" r:id="rId20"/>
    <sheet xmlns:r="http://schemas.openxmlformats.org/officeDocument/2006/relationships" name="1959" sheetId="21" state="visible" r:id="rId21"/>
    <sheet xmlns:r="http://schemas.openxmlformats.org/officeDocument/2006/relationships" name="1960" sheetId="22" state="visible" r:id="rId22"/>
    <sheet xmlns:r="http://schemas.openxmlformats.org/officeDocument/2006/relationships" name="1961" sheetId="23" state="visible" r:id="rId23"/>
    <sheet xmlns:r="http://schemas.openxmlformats.org/officeDocument/2006/relationships" name="1962" sheetId="24" state="visible" r:id="rId24"/>
    <sheet xmlns:r="http://schemas.openxmlformats.org/officeDocument/2006/relationships" name="1963" sheetId="25" state="visible" r:id="rId25"/>
    <sheet xmlns:r="http://schemas.openxmlformats.org/officeDocument/2006/relationships" name="1964" sheetId="26" state="visible" r:id="rId26"/>
    <sheet xmlns:r="http://schemas.openxmlformats.org/officeDocument/2006/relationships" name="1965" sheetId="27" state="visible" r:id="rId27"/>
    <sheet xmlns:r="http://schemas.openxmlformats.org/officeDocument/2006/relationships" name="1966" sheetId="28" state="visible" r:id="rId28"/>
    <sheet xmlns:r="http://schemas.openxmlformats.org/officeDocument/2006/relationships" name="1967" sheetId="29" state="visible" r:id="rId29"/>
    <sheet xmlns:r="http://schemas.openxmlformats.org/officeDocument/2006/relationships" name="1968" sheetId="30" state="visible" r:id="rId30"/>
    <sheet xmlns:r="http://schemas.openxmlformats.org/officeDocument/2006/relationships" name="1969" sheetId="31" state="visible" r:id="rId31"/>
    <sheet xmlns:r="http://schemas.openxmlformats.org/officeDocument/2006/relationships" name="1970" sheetId="32" state="visible" r:id="rId32"/>
    <sheet xmlns:r="http://schemas.openxmlformats.org/officeDocument/2006/relationships" name="1971" sheetId="33" state="visible" r:id="rId33"/>
    <sheet xmlns:r="http://schemas.openxmlformats.org/officeDocument/2006/relationships" name="1972" sheetId="34" state="visible" r:id="rId34"/>
    <sheet xmlns:r="http://schemas.openxmlformats.org/officeDocument/2006/relationships" name="1973" sheetId="35" state="visible" r:id="rId35"/>
    <sheet xmlns:r="http://schemas.openxmlformats.org/officeDocument/2006/relationships" name="1974" sheetId="36" state="visible" r:id="rId36"/>
    <sheet xmlns:r="http://schemas.openxmlformats.org/officeDocument/2006/relationships" name="1975" sheetId="37" state="visible" r:id="rId37"/>
    <sheet xmlns:r="http://schemas.openxmlformats.org/officeDocument/2006/relationships" name="1976" sheetId="38" state="visible" r:id="rId38"/>
    <sheet xmlns:r="http://schemas.openxmlformats.org/officeDocument/2006/relationships" name="1977" sheetId="39" state="visible" r:id="rId39"/>
    <sheet xmlns:r="http://schemas.openxmlformats.org/officeDocument/2006/relationships" name="1978" sheetId="40" state="visible" r:id="rId40"/>
    <sheet xmlns:r="http://schemas.openxmlformats.org/officeDocument/2006/relationships" name="1979" sheetId="41" state="visible" r:id="rId41"/>
    <sheet xmlns:r="http://schemas.openxmlformats.org/officeDocument/2006/relationships" name="1980" sheetId="42" state="visible" r:id="rId42"/>
    <sheet xmlns:r="http://schemas.openxmlformats.org/officeDocument/2006/relationships" name="1981" sheetId="43" state="visible" r:id="rId43"/>
    <sheet xmlns:r="http://schemas.openxmlformats.org/officeDocument/2006/relationships" name="1982" sheetId="44" state="visible" r:id="rId44"/>
    <sheet xmlns:r="http://schemas.openxmlformats.org/officeDocument/2006/relationships" name="1983" sheetId="45" state="visible" r:id="rId45"/>
    <sheet xmlns:r="http://schemas.openxmlformats.org/officeDocument/2006/relationships" name="1984" sheetId="46" state="visible" r:id="rId46"/>
    <sheet xmlns:r="http://schemas.openxmlformats.org/officeDocument/2006/relationships" name="1985" sheetId="47" state="visible" r:id="rId47"/>
    <sheet xmlns:r="http://schemas.openxmlformats.org/officeDocument/2006/relationships" name="1986" sheetId="48" state="visible" r:id="rId48"/>
    <sheet xmlns:r="http://schemas.openxmlformats.org/officeDocument/2006/relationships" name="1987" sheetId="49" state="visible" r:id="rId49"/>
    <sheet xmlns:r="http://schemas.openxmlformats.org/officeDocument/2006/relationships" name="1988" sheetId="50" state="visible" r:id="rId50"/>
    <sheet xmlns:r="http://schemas.openxmlformats.org/officeDocument/2006/relationships" name="1989" sheetId="51" state="visible" r:id="rId51"/>
    <sheet xmlns:r="http://schemas.openxmlformats.org/officeDocument/2006/relationships" name="1990" sheetId="52" state="visible" r:id="rId52"/>
    <sheet xmlns:r="http://schemas.openxmlformats.org/officeDocument/2006/relationships" name="1991" sheetId="53" state="visible" r:id="rId53"/>
    <sheet xmlns:r="http://schemas.openxmlformats.org/officeDocument/2006/relationships" name="1992" sheetId="54" state="visible" r:id="rId54"/>
    <sheet xmlns:r="http://schemas.openxmlformats.org/officeDocument/2006/relationships" name="1993" sheetId="55" state="visible" r:id="rId55"/>
    <sheet xmlns:r="http://schemas.openxmlformats.org/officeDocument/2006/relationships" name="1994" sheetId="56" state="visible" r:id="rId56"/>
    <sheet xmlns:r="http://schemas.openxmlformats.org/officeDocument/2006/relationships" name="1995" sheetId="57" state="visible" r:id="rId57"/>
    <sheet xmlns:r="http://schemas.openxmlformats.org/officeDocument/2006/relationships" name="1996" sheetId="58" state="visible" r:id="rId58"/>
    <sheet xmlns:r="http://schemas.openxmlformats.org/officeDocument/2006/relationships" name="1997" sheetId="59" state="visible" r:id="rId59"/>
    <sheet xmlns:r="http://schemas.openxmlformats.org/officeDocument/2006/relationships" name="1998" sheetId="60" state="visible" r:id="rId60"/>
    <sheet xmlns:r="http://schemas.openxmlformats.org/officeDocument/2006/relationships" name="1999" sheetId="61" state="visible" r:id="rId61"/>
    <sheet xmlns:r="http://schemas.openxmlformats.org/officeDocument/2006/relationships" name="2000" sheetId="62" state="visible" r:id="rId62"/>
    <sheet xmlns:r="http://schemas.openxmlformats.org/officeDocument/2006/relationships" name="2001" sheetId="63" state="visible" r:id="rId63"/>
    <sheet xmlns:r="http://schemas.openxmlformats.org/officeDocument/2006/relationships" name="2002" sheetId="64" state="visible" r:id="rId64"/>
    <sheet xmlns:r="http://schemas.openxmlformats.org/officeDocument/2006/relationships" name="2003" sheetId="65" state="visible" r:id="rId65"/>
    <sheet xmlns:r="http://schemas.openxmlformats.org/officeDocument/2006/relationships" name="2004" sheetId="66" state="visible" r:id="rId66"/>
    <sheet xmlns:r="http://schemas.openxmlformats.org/officeDocument/2006/relationships" name="2005" sheetId="67" state="visible" r:id="rId67"/>
    <sheet xmlns:r="http://schemas.openxmlformats.org/officeDocument/2006/relationships" name="2006" sheetId="68" state="visible" r:id="rId68"/>
    <sheet xmlns:r="http://schemas.openxmlformats.org/officeDocument/2006/relationships" name="2007" sheetId="69" state="visible" r:id="rId69"/>
    <sheet xmlns:r="http://schemas.openxmlformats.org/officeDocument/2006/relationships" name="2008" sheetId="70" state="visible" r:id="rId70"/>
    <sheet xmlns:r="http://schemas.openxmlformats.org/officeDocument/2006/relationships" name="2009" sheetId="71" state="visible" r:id="rId71"/>
    <sheet xmlns:r="http://schemas.openxmlformats.org/officeDocument/2006/relationships" name="2010" sheetId="72" state="visible" r:id="rId72"/>
    <sheet xmlns:r="http://schemas.openxmlformats.org/officeDocument/2006/relationships" name="2011" sheetId="73" state="visible" r:id="rId73"/>
    <sheet xmlns:r="http://schemas.openxmlformats.org/officeDocument/2006/relationships" name="2012" sheetId="74" state="visible" r:id="rId74"/>
    <sheet xmlns:r="http://schemas.openxmlformats.org/officeDocument/2006/relationships" name="2013" sheetId="75" state="visible" r:id="rId75"/>
    <sheet xmlns:r="http://schemas.openxmlformats.org/officeDocument/2006/relationships" name="2014" sheetId="76" state="visible" r:id="rId76"/>
    <sheet xmlns:r="http://schemas.openxmlformats.org/officeDocument/2006/relationships" name="2015" sheetId="77" state="visible" r:id="rId77"/>
    <sheet xmlns:r="http://schemas.openxmlformats.org/officeDocument/2006/relationships" name="2016" sheetId="78" state="visible" r:id="rId78"/>
    <sheet xmlns:r="http://schemas.openxmlformats.org/officeDocument/2006/relationships" name="2017" sheetId="79" state="visible" r:id="rId79"/>
    <sheet xmlns:r="http://schemas.openxmlformats.org/officeDocument/2006/relationships" name="2018" sheetId="80" state="visible" r:id="rId80"/>
    <sheet xmlns:r="http://schemas.openxmlformats.org/officeDocument/2006/relationships" name="2019" sheetId="81" state="visible" r:id="rId81"/>
    <sheet xmlns:r="http://schemas.openxmlformats.org/officeDocument/2006/relationships" name="2020" sheetId="82" state="visible" r:id="rId82"/>
    <sheet xmlns:r="http://schemas.openxmlformats.org/officeDocument/2006/relationships" name="2021" sheetId="83" state="visible" r:id="rId83"/>
    <sheet xmlns:r="http://schemas.openxmlformats.org/officeDocument/2006/relationships" name="2022" sheetId="84" state="visible" r:id="rId84"/>
    <sheet xmlns:r="http://schemas.openxmlformats.org/officeDocument/2006/relationships" name="2023" sheetId="85" state="visible" r:id="rId85"/>
    <sheet xmlns:r="http://schemas.openxmlformats.org/officeDocument/2006/relationships" name="2024" sheetId="86" state="visible" r:id="rId86"/>
    <sheet xmlns:r="http://schemas.openxmlformats.org/officeDocument/2006/relationships" name="2025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0" fillId="0" borderId="2" pivotButton="0" quotePrefix="0" xfId="0"/>
    <xf numFmtId="0" fontId="4" fillId="0" borderId="2" pivotButton="0" quotePrefix="0" xfId="0"/>
    <xf numFmtId="164" fontId="0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styles" Target="styles.xml" Id="rId88"/><Relationship Type="http://schemas.openxmlformats.org/officeDocument/2006/relationships/theme" Target="theme/theme1.xml" Id="rId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PERIOD 1940-2025. GODINA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>
        <f>AVERAGE('1940'!B6,'1941'!B6,'1942'!B6,'1943'!B6,'1944'!B6,'1945'!B6,'1946'!B6,'1947'!B6,'1948'!B6,'1949'!B6,'1950'!B6,'1951'!B6,'1952'!B6,'1953'!B6,'1954'!B6,'1955'!B6,'1956'!B6,'1957'!B6,'1958'!B6,'1959'!B6,'1960'!B6,'1961'!B6,'1962'!B6,'1963'!B6,'1964'!B6,'1965'!B6,'1966'!B6,'1967'!B6,'1968'!B6,'1969'!B6,'1970'!B6,'1971'!B6,'1972'!B6,'1973'!B6,'1974'!B6,'1975'!B6,'1976'!B6,'1977'!B6,'1978'!B6,'1979'!B6,'1980'!B6,'1981'!B6,'1982'!B6,'1983'!B6,'1984'!B6,'1985'!B6,'1986'!B6,'1987'!B6,'1988'!B6,'1989'!B6,'1990'!B6,'1991'!B6,'1992'!B6,'1993'!B6,'1994'!B6,'1995'!B6,'1996'!B6,'1997'!B6,'1998'!B6,'1999'!B6,'2000'!B6,'2001'!B6,'2002'!B6,'2003'!B6,'2004'!B6,'2005'!B6,'2006'!B6,'2007'!B6,'2008'!B6,'2009'!B6,'2010'!B6,'2011'!B6,'2012'!B6,'2013'!B6,'2014'!B6,'2015'!B6,'2016'!B6,'2017'!B6,'2018'!B6,'2019'!B6,'2020'!B6,'2021'!B6,'2022'!B6,'2023'!B6,'2024'!B6,'2025'!B6)</f>
        <v/>
      </c>
      <c r="C6" s="8">
        <f>AVERAGE('1940'!C6,'1941'!C6,'1942'!C6,'1943'!C6,'1944'!C6,'1945'!C6,'1946'!C6,'1947'!C6,'1948'!C6,'1949'!C6,'1950'!C6,'1951'!C6,'1952'!C6,'1953'!C6,'1954'!C6,'1955'!C6,'1956'!C6,'1957'!C6,'1958'!C6,'1959'!C6,'1960'!C6,'1961'!C6,'1962'!C6,'1963'!C6,'1964'!C6,'1965'!C6,'1966'!C6,'1967'!C6,'1968'!C6,'1969'!C6,'1970'!C6,'1971'!C6,'1972'!C6,'1973'!C6,'1974'!C6,'1975'!C6,'1976'!C6,'1977'!C6,'1978'!C6,'1979'!C6,'1980'!C6,'1981'!C6,'1982'!C6,'1983'!C6,'1984'!C6,'1985'!C6,'1986'!C6,'1987'!C6,'1988'!C6,'1989'!C6,'1990'!C6,'1991'!C6,'1992'!C6,'1993'!C6,'1994'!C6,'1995'!C6,'1996'!C6,'1997'!C6,'1998'!C6,'1999'!C6,'2000'!C6,'2001'!C6,'2002'!C6,'2003'!C6,'2004'!C6,'2005'!C6,'2006'!C6,'2007'!C6,'2008'!C6,'2009'!C6,'2010'!C6,'2011'!C6,'2012'!C6,'2013'!C6,'2014'!C6,'2015'!C6,'2016'!C6,'2017'!C6,'2018'!C6,'2019'!C6,'2020'!C6,'2021'!C6,'2022'!C6,'2023'!C6,'2024'!C6,'2025'!C6)</f>
        <v/>
      </c>
      <c r="D6" s="8">
        <f>AVERAGE('1940'!D6,'1941'!D6,'1942'!D6,'1943'!D6,'1944'!D6,'1945'!D6,'1946'!D6,'1947'!D6,'1948'!D6,'1949'!D6,'1950'!D6,'1951'!D6,'1952'!D6,'1953'!D6,'1954'!D6,'1955'!D6,'1956'!D6,'1957'!D6,'1958'!D6,'1959'!D6,'1960'!D6,'1961'!D6,'1962'!D6,'1963'!D6,'1964'!D6,'1965'!D6,'1966'!D6,'1967'!D6,'1968'!D6,'1969'!D6,'1970'!D6,'1971'!D6,'1972'!D6,'1973'!D6,'1974'!D6,'1975'!D6,'1976'!D6,'1977'!D6,'1978'!D6,'1979'!D6,'1980'!D6,'1981'!D6,'1982'!D6,'1983'!D6,'1984'!D6,'1985'!D6,'1986'!D6,'1987'!D6,'1988'!D6,'1989'!D6,'1990'!D6,'1991'!D6,'1992'!D6,'1993'!D6,'1994'!D6,'1995'!D6,'1996'!D6,'1997'!D6,'1998'!D6,'1999'!D6,'2000'!D6,'2001'!D6,'2002'!D6,'2003'!D6,'2004'!D6,'2005'!D6,'2006'!D6,'2007'!D6,'2008'!D6,'2009'!D6,'2010'!D6,'2011'!D6,'2012'!D6,'2013'!D6,'2014'!D6,'2015'!D6,'2016'!D6,'2017'!D6,'2018'!D6,'2019'!D6,'2020'!D6,'2021'!D6,'2022'!D6,'2023'!D6,'2024'!D6,'2025'!D6)</f>
        <v/>
      </c>
      <c r="E6" s="8">
        <f>AVERAGE('1940'!E6,'1941'!E6,'1942'!E6,'1943'!E6,'1944'!E6,'1945'!E6,'1946'!E6,'1947'!E6,'1948'!E6,'1949'!E6,'1950'!E6,'1951'!E6,'1952'!E6,'1953'!E6,'1954'!E6,'1955'!E6,'1956'!E6,'1957'!E6,'1958'!E6,'1959'!E6,'1960'!E6,'1961'!E6,'1962'!E6,'1963'!E6,'1964'!E6,'1965'!E6,'1966'!E6,'1967'!E6,'1968'!E6,'1969'!E6,'1970'!E6,'1971'!E6,'1972'!E6,'1973'!E6,'1974'!E6,'1975'!E6,'1976'!E6,'1977'!E6,'1978'!E6,'1979'!E6,'1980'!E6,'1981'!E6,'1982'!E6,'1983'!E6,'1984'!E6,'1985'!E6,'1986'!E6,'1987'!E6,'1988'!E6,'1989'!E6,'1990'!E6,'1991'!E6,'1992'!E6,'1993'!E6,'1994'!E6,'1995'!E6,'1996'!E6,'1997'!E6,'1998'!E6,'1999'!E6,'2000'!E6,'2001'!E6,'2002'!E6,'2003'!E6,'2004'!E6,'2005'!E6,'2006'!E6,'2007'!E6,'2008'!E6,'2009'!E6,'2010'!E6,'2011'!E6,'2012'!E6,'2013'!E6,'2014'!E6,'2015'!E6,'2016'!E6,'2017'!E6,'2018'!E6,'2019'!E6,'2020'!E6,'2021'!E6,'2022'!E6,'2023'!E6,'2024'!E6,'2025'!E6)</f>
        <v/>
      </c>
      <c r="F6" s="8">
        <f>AVERAGE('1940'!F6,'1941'!F6,'1942'!F6,'1943'!F6,'1944'!F6,'1945'!F6,'1946'!F6,'1947'!F6,'1948'!F6,'1949'!F6,'1950'!F6,'1951'!F6,'1952'!F6,'1953'!F6,'1954'!F6,'1955'!F6,'1956'!F6,'1957'!F6,'1958'!F6,'1959'!F6,'1960'!F6,'1961'!F6,'1962'!F6,'1963'!F6,'1964'!F6,'1965'!F6,'1966'!F6,'1967'!F6,'1968'!F6,'1969'!F6,'1970'!F6,'1971'!F6,'1972'!F6,'1973'!F6,'1974'!F6,'1975'!F6,'1976'!F6,'1977'!F6,'1978'!F6,'1979'!F6,'1980'!F6,'1981'!F6,'1982'!F6,'1983'!F6,'1984'!F6,'1985'!F6,'1986'!F6,'1987'!F6,'1988'!F6,'1989'!F6,'1990'!F6,'1991'!F6,'1992'!F6,'1993'!F6,'1994'!F6,'1995'!F6,'1996'!F6,'1997'!F6,'1998'!F6,'1999'!F6,'2000'!F6,'2001'!F6,'2002'!F6,'2003'!F6,'2004'!F6,'2005'!F6,'2006'!F6,'2007'!F6,'2008'!F6,'2009'!F6,'2010'!F6,'2011'!F6,'2012'!F6,'2013'!F6,'2014'!F6,'2015'!F6,'2016'!F6,'2017'!F6,'2018'!F6,'2019'!F6,'2020'!F6,'2021'!F6,'2022'!F6,'2023'!F6,'2024'!F6,'2025'!F6)</f>
        <v/>
      </c>
      <c r="G6" s="8">
        <f>AVERAGE('1940'!G6,'1941'!G6,'1942'!G6,'1943'!G6,'1944'!G6,'1945'!G6,'1946'!G6,'1947'!G6,'1948'!G6,'1949'!G6,'1950'!G6,'1951'!G6,'1952'!G6,'1953'!G6,'1954'!G6,'1955'!G6,'1956'!G6,'1957'!G6,'1958'!G6,'1959'!G6,'1960'!G6,'1961'!G6,'1962'!G6,'1963'!G6,'1964'!G6,'1965'!G6,'1966'!G6,'1967'!G6,'1968'!G6,'1969'!G6,'1970'!G6,'1971'!G6,'1972'!G6,'1973'!G6,'1974'!G6,'1975'!G6,'1976'!G6,'1977'!G6,'1978'!G6,'1979'!G6,'1980'!G6,'1981'!G6,'1982'!G6,'1983'!G6,'1984'!G6,'1985'!G6,'1986'!G6,'1987'!G6,'1988'!G6,'1989'!G6,'1990'!G6,'1991'!G6,'1992'!G6,'1993'!G6,'1994'!G6,'1995'!G6,'1996'!G6,'1997'!G6,'1998'!G6,'1999'!G6,'2000'!G6,'2001'!G6,'2002'!G6,'2003'!G6,'2004'!G6,'2005'!G6,'2006'!G6,'2007'!G6,'2008'!G6,'2009'!G6,'2010'!G6,'2011'!G6,'2012'!G6,'2013'!G6,'2014'!G6,'2015'!G6,'2016'!G6,'2017'!G6,'2018'!G6,'2019'!G6,'2020'!G6,'2021'!G6,'2022'!G6,'2023'!G6,'2024'!G6,'2025'!G6)</f>
        <v/>
      </c>
      <c r="H6" s="8">
        <f>AVERAGE('1940'!H6,'1941'!H6,'1942'!H6,'1943'!H6,'1944'!H6,'1945'!H6,'1946'!H6,'1947'!H6,'1948'!H6,'1949'!H6,'1950'!H6,'1951'!H6,'1952'!H6,'1953'!H6,'1954'!H6,'1955'!H6,'1956'!H6,'1957'!H6,'1958'!H6,'1959'!H6,'1960'!H6,'1961'!H6,'1962'!H6,'1963'!H6,'1964'!H6,'1965'!H6,'1966'!H6,'1967'!H6,'1968'!H6,'1969'!H6,'1970'!H6,'1971'!H6,'1972'!H6,'1973'!H6,'1974'!H6,'1975'!H6,'1976'!H6,'1977'!H6,'1978'!H6,'1979'!H6,'1980'!H6,'1981'!H6,'1982'!H6,'1983'!H6,'1984'!H6,'1985'!H6,'1986'!H6,'1987'!H6,'1988'!H6,'1989'!H6,'1990'!H6,'1991'!H6,'1992'!H6,'1993'!H6,'1994'!H6,'1995'!H6,'1996'!H6,'1997'!H6,'1998'!H6,'1999'!H6,'2000'!H6,'2001'!H6,'2002'!H6,'2003'!H6,'2004'!H6,'2005'!H6,'2006'!H6,'2007'!H6,'2008'!H6,'2009'!H6,'2010'!H6,'2011'!H6,'2012'!H6,'2013'!H6,'2014'!H6,'2015'!H6,'2016'!H6,'2017'!H6,'2018'!H6,'2019'!H6,'2020'!H6,'2021'!H6,'2022'!H6,'2023'!H6,'2024'!H6,'2025'!H6)</f>
        <v/>
      </c>
      <c r="I6" s="8">
        <f>AVERAGE('1940'!I6,'1941'!I6,'1942'!I6,'1943'!I6,'1944'!I6,'1945'!I6,'1946'!I6,'1947'!I6,'1948'!I6,'1949'!I6,'1950'!I6,'1951'!I6,'1952'!I6,'1953'!I6,'1954'!I6,'1955'!I6,'1956'!I6,'1957'!I6,'1958'!I6,'1959'!I6,'1960'!I6,'1961'!I6,'1962'!I6,'1963'!I6,'1964'!I6,'1965'!I6,'1966'!I6,'1967'!I6,'1968'!I6,'1969'!I6,'1970'!I6,'1971'!I6,'1972'!I6,'1973'!I6,'1974'!I6,'1975'!I6,'1976'!I6,'1977'!I6,'1978'!I6,'1979'!I6,'1980'!I6,'1981'!I6,'1982'!I6,'1983'!I6,'1984'!I6,'1985'!I6,'1986'!I6,'1987'!I6,'1988'!I6,'1989'!I6,'1990'!I6,'1991'!I6,'1992'!I6,'1993'!I6,'1994'!I6,'1995'!I6,'1996'!I6,'1997'!I6,'1998'!I6,'1999'!I6,'2000'!I6,'2001'!I6,'2002'!I6,'2003'!I6,'2004'!I6,'2005'!I6,'2006'!I6,'2007'!I6,'2008'!I6,'2009'!I6,'2010'!I6,'2011'!I6,'2012'!I6,'2013'!I6,'2014'!I6,'2015'!I6,'2016'!I6,'2017'!I6,'2018'!I6,'2019'!I6,'2020'!I6,'2021'!I6,'2022'!I6,'2023'!I6,'2024'!I6,'2025'!I6)</f>
        <v/>
      </c>
      <c r="J6" s="8">
        <f>AVERAGE('1940'!J6,'1941'!J6,'1942'!J6,'1943'!J6,'1944'!J6,'1945'!J6,'1946'!J6,'1947'!J6,'1948'!J6,'1949'!J6,'1950'!J6,'1951'!J6,'1952'!J6,'1953'!J6,'1954'!J6,'1955'!J6,'1956'!J6,'1957'!J6,'1958'!J6,'1959'!J6,'1960'!J6,'1961'!J6,'1962'!J6,'1963'!J6,'1964'!J6,'1965'!J6,'1966'!J6,'1967'!J6,'1968'!J6,'1969'!J6,'1970'!J6,'1971'!J6,'1972'!J6,'1973'!J6,'1974'!J6,'1975'!J6,'1976'!J6,'1977'!J6,'1978'!J6,'1979'!J6,'1980'!J6,'1981'!J6,'1982'!J6,'1983'!J6,'1984'!J6,'1985'!J6,'1986'!J6,'1987'!J6,'1988'!J6,'1989'!J6,'1990'!J6,'1991'!J6,'1992'!J6,'1993'!J6,'1994'!J6,'1995'!J6,'1996'!J6,'1997'!J6,'1998'!J6,'1999'!J6,'2000'!J6,'2001'!J6,'2002'!J6,'2003'!J6,'2004'!J6,'2005'!J6,'2006'!J6,'2007'!J6,'2008'!J6,'2009'!J6,'2010'!J6,'2011'!J6,'2012'!J6,'2013'!J6,'2014'!J6,'2015'!J6,'2016'!J6,'2017'!J6,'2018'!J6,'2019'!J6,'2020'!J6,'2021'!J6,'2022'!J6,'2023'!J6,'2024'!J6,'2025'!J6)</f>
        <v/>
      </c>
      <c r="K6" s="8">
        <f>AVERAGE('1940'!K6,'1941'!K6,'1942'!K6,'1943'!K6,'1944'!K6,'1945'!K6,'1946'!K6,'1947'!K6,'1948'!K6,'1949'!K6,'1950'!K6,'1951'!K6,'1952'!K6,'1953'!K6,'1954'!K6,'1955'!K6,'1956'!K6,'1957'!K6,'1958'!K6,'1959'!K6,'1960'!K6,'1961'!K6,'1962'!K6,'1963'!K6,'1964'!K6,'1965'!K6,'1966'!K6,'1967'!K6,'1968'!K6,'1969'!K6,'1970'!K6,'1971'!K6,'1972'!K6,'1973'!K6,'1974'!K6,'1975'!K6,'1976'!K6,'1977'!K6,'1978'!K6,'1979'!K6,'1980'!K6,'1981'!K6,'1982'!K6,'1983'!K6,'1984'!K6,'1985'!K6,'1986'!K6,'1987'!K6,'1988'!K6,'1989'!K6,'1990'!K6,'1991'!K6,'1992'!K6,'1993'!K6,'1994'!K6,'1995'!K6,'1996'!K6,'1997'!K6,'1998'!K6,'1999'!K6,'2000'!K6,'2001'!K6,'2002'!K6,'2003'!K6,'2004'!K6,'2005'!K6,'2006'!K6,'2007'!K6,'2008'!K6,'2009'!K6,'2010'!K6,'2011'!K6,'2012'!K6,'2013'!K6,'2014'!K6,'2015'!K6,'2016'!K6,'2017'!K6,'2018'!K6,'2019'!K6,'2020'!K6,'2021'!K6,'2022'!K6,'2023'!K6,'2024'!K6,'2025'!K6)</f>
        <v/>
      </c>
      <c r="L6" s="8">
        <f>AVERAGE('1940'!L6,'1941'!L6,'1942'!L6,'1943'!L6,'1944'!L6,'1945'!L6,'1946'!L6,'1947'!L6,'1948'!L6,'1949'!L6,'1950'!L6,'1951'!L6,'1952'!L6,'1953'!L6,'1954'!L6,'1955'!L6,'1956'!L6,'1957'!L6,'1958'!L6,'1959'!L6,'1960'!L6,'1961'!L6,'1962'!L6,'1963'!L6,'1964'!L6,'1965'!L6,'1966'!L6,'1967'!L6,'1968'!L6,'1969'!L6,'1970'!L6,'1971'!L6,'1972'!L6,'1973'!L6,'1974'!L6,'1975'!L6,'1976'!L6,'1977'!L6,'1978'!L6,'1979'!L6,'1980'!L6,'1981'!L6,'1982'!L6,'1983'!L6,'1984'!L6,'1985'!L6,'1986'!L6,'1987'!L6,'1988'!L6,'1989'!L6,'1990'!L6,'1991'!L6,'1992'!L6,'1993'!L6,'1994'!L6,'1995'!L6,'1996'!L6,'1997'!L6,'1998'!L6,'1999'!L6,'2000'!L6,'2001'!L6,'2002'!L6,'2003'!L6,'2004'!L6,'2005'!L6,'2006'!L6,'2007'!L6,'2008'!L6,'2009'!L6,'2010'!L6,'2011'!L6,'2012'!L6,'2013'!L6,'2014'!L6,'2015'!L6,'2016'!L6,'2017'!L6,'2018'!L6,'2019'!L6,'2020'!L6,'2021'!L6,'2022'!L6,'2023'!L6,'2024'!L6,'2025'!L6)</f>
        <v/>
      </c>
      <c r="M6" s="8">
        <f>AVERAGE('1940'!M6,'1941'!M6,'1942'!M6,'1943'!M6,'1944'!M6,'1945'!M6,'1946'!M6,'1947'!M6,'1948'!M6,'1949'!M6,'1950'!M6,'1951'!M6,'1952'!M6,'1953'!M6,'1954'!M6,'1955'!M6,'1956'!M6,'1957'!M6,'1958'!M6,'1959'!M6,'1960'!M6,'1961'!M6,'1962'!M6,'1963'!M6,'1964'!M6,'1965'!M6,'1966'!M6,'1967'!M6,'1968'!M6,'1969'!M6,'1970'!M6,'1971'!M6,'1972'!M6,'1973'!M6,'1974'!M6,'1975'!M6,'1976'!M6,'1977'!M6,'1978'!M6,'1979'!M6,'1980'!M6,'1981'!M6,'1982'!M6,'1983'!M6,'1984'!M6,'1985'!M6,'1986'!M6,'1987'!M6,'1988'!M6,'1989'!M6,'1990'!M6,'1991'!M6,'1992'!M6,'1993'!M6,'1994'!M6,'1995'!M6,'1996'!M6,'1997'!M6,'1998'!M6,'1999'!M6,'2000'!M6,'2001'!M6,'2002'!M6,'2003'!M6,'2004'!M6,'2005'!M6,'2006'!M6,'2007'!M6,'2008'!M6,'2009'!M6,'2010'!M6,'2011'!M6,'2012'!M6,'2013'!M6,'2014'!M6,'2015'!M6,'2016'!M6,'2017'!M6,'2018'!M6,'2019'!M6,'2020'!M6,'2021'!M6,'2022'!M6,'2023'!M6,'2024'!M6,'2025'!M6)</f>
        <v/>
      </c>
      <c r="N6" s="9">
        <f>AVERAGE(B6:M6)</f>
        <v/>
      </c>
    </row>
    <row r="7">
      <c r="A7" s="7" t="inlineStr">
        <is>
          <t>Srednja maksimalna</t>
        </is>
      </c>
      <c r="B7" s="8">
        <f>AVERAGE('1940'!B7,'1941'!B7,'1942'!B7,'1943'!B7,'1944'!B7,'1945'!B7,'1946'!B7,'1947'!B7,'1948'!B7,'1949'!B7,'1950'!B7,'1951'!B7,'1952'!B7,'1953'!B7,'1954'!B7,'1955'!B7,'1956'!B7,'1957'!B7,'1958'!B7,'1959'!B7,'1960'!B7,'1961'!B7,'1962'!B7,'1963'!B7,'1964'!B7,'1965'!B7,'1966'!B7,'1967'!B7,'1968'!B7,'1969'!B7,'1970'!B7,'1971'!B7,'1972'!B7,'1973'!B7,'1974'!B7,'1975'!B7,'1976'!B7,'1977'!B7,'1978'!B7,'1979'!B7,'1980'!B7,'1981'!B7,'1982'!B7,'1983'!B7,'1984'!B7,'1985'!B7,'1986'!B7,'1987'!B7,'1988'!B7,'1989'!B7,'1990'!B7,'1991'!B7,'1992'!B7,'1993'!B7,'1994'!B7,'1995'!B7,'1996'!B7,'1997'!B7,'1998'!B7,'1999'!B7,'2000'!B7,'2001'!B7,'2002'!B7,'2003'!B7,'2004'!B7,'2005'!B7,'2006'!B7,'2007'!B7,'2008'!B7,'2009'!B7,'2010'!B7,'2011'!B7,'2012'!B7,'2013'!B7,'2014'!B7,'2015'!B7,'2016'!B7,'2017'!B7,'2018'!B7,'2019'!B7,'2020'!B7,'2021'!B7,'2022'!B7,'2023'!B7,'2024'!B7,'2025'!B7)</f>
        <v/>
      </c>
      <c r="C7" s="8">
        <f>AVERAGE('1940'!C7,'1941'!C7,'1942'!C7,'1943'!C7,'1944'!C7,'1945'!C7,'1946'!C7,'1947'!C7,'1948'!C7,'1949'!C7,'1950'!C7,'1951'!C7,'1952'!C7,'1953'!C7,'1954'!C7,'1955'!C7,'1956'!C7,'1957'!C7,'1958'!C7,'1959'!C7,'1960'!C7,'1961'!C7,'1962'!C7,'1963'!C7,'1964'!C7,'1965'!C7,'1966'!C7,'1967'!C7,'1968'!C7,'1969'!C7,'1970'!C7,'1971'!C7,'1972'!C7,'1973'!C7,'1974'!C7,'1975'!C7,'1976'!C7,'1977'!C7,'1978'!C7,'1979'!C7,'1980'!C7,'1981'!C7,'1982'!C7,'1983'!C7,'1984'!C7,'1985'!C7,'1986'!C7,'1987'!C7,'1988'!C7,'1989'!C7,'1990'!C7,'1991'!C7,'1992'!C7,'1993'!C7,'1994'!C7,'1995'!C7,'1996'!C7,'1997'!C7,'1998'!C7,'1999'!C7,'2000'!C7,'2001'!C7,'2002'!C7,'2003'!C7,'2004'!C7,'2005'!C7,'2006'!C7,'2007'!C7,'2008'!C7,'2009'!C7,'2010'!C7,'2011'!C7,'2012'!C7,'2013'!C7,'2014'!C7,'2015'!C7,'2016'!C7,'2017'!C7,'2018'!C7,'2019'!C7,'2020'!C7,'2021'!C7,'2022'!C7,'2023'!C7,'2024'!C7,'2025'!C7)</f>
        <v/>
      </c>
      <c r="D7" s="8">
        <f>AVERAGE('1940'!D7,'1941'!D7,'1942'!D7,'1943'!D7,'1944'!D7,'1945'!D7,'1946'!D7,'1947'!D7,'1948'!D7,'1949'!D7,'1950'!D7,'1951'!D7,'1952'!D7,'1953'!D7,'1954'!D7,'1955'!D7,'1956'!D7,'1957'!D7,'1958'!D7,'1959'!D7,'1960'!D7,'1961'!D7,'1962'!D7,'1963'!D7,'1964'!D7,'1965'!D7,'1966'!D7,'1967'!D7,'1968'!D7,'1969'!D7,'1970'!D7,'1971'!D7,'1972'!D7,'1973'!D7,'1974'!D7,'1975'!D7,'1976'!D7,'1977'!D7,'1978'!D7,'1979'!D7,'1980'!D7,'1981'!D7,'1982'!D7,'1983'!D7,'1984'!D7,'1985'!D7,'1986'!D7,'1987'!D7,'1988'!D7,'1989'!D7,'1990'!D7,'1991'!D7,'1992'!D7,'1993'!D7,'1994'!D7,'1995'!D7,'1996'!D7,'1997'!D7,'1998'!D7,'1999'!D7,'2000'!D7,'2001'!D7,'2002'!D7,'2003'!D7,'2004'!D7,'2005'!D7,'2006'!D7,'2007'!D7,'2008'!D7,'2009'!D7,'2010'!D7,'2011'!D7,'2012'!D7,'2013'!D7,'2014'!D7,'2015'!D7,'2016'!D7,'2017'!D7,'2018'!D7,'2019'!D7,'2020'!D7,'2021'!D7,'2022'!D7,'2023'!D7,'2024'!D7,'2025'!D7)</f>
        <v/>
      </c>
      <c r="E7" s="8">
        <f>AVERAGE('1940'!E7,'1941'!E7,'1942'!E7,'1943'!E7,'1944'!E7,'1945'!E7,'1946'!E7,'1947'!E7,'1948'!E7,'1949'!E7,'1950'!E7,'1951'!E7,'1952'!E7,'1953'!E7,'1954'!E7,'1955'!E7,'1956'!E7,'1957'!E7,'1958'!E7,'1959'!E7,'1960'!E7,'1961'!E7,'1962'!E7,'1963'!E7,'1964'!E7,'1965'!E7,'1966'!E7,'1967'!E7,'1968'!E7,'1969'!E7,'1970'!E7,'1971'!E7,'1972'!E7,'1973'!E7,'1974'!E7,'1975'!E7,'1976'!E7,'1977'!E7,'1978'!E7,'1979'!E7,'1980'!E7,'1981'!E7,'1982'!E7,'1983'!E7,'1984'!E7,'1985'!E7,'1986'!E7,'1987'!E7,'1988'!E7,'1989'!E7,'1990'!E7,'1991'!E7,'1992'!E7,'1993'!E7,'1994'!E7,'1995'!E7,'1996'!E7,'1997'!E7,'1998'!E7,'1999'!E7,'2000'!E7,'2001'!E7,'2002'!E7,'2003'!E7,'2004'!E7,'2005'!E7,'2006'!E7,'2007'!E7,'2008'!E7,'2009'!E7,'2010'!E7,'2011'!E7,'2012'!E7,'2013'!E7,'2014'!E7,'2015'!E7,'2016'!E7,'2017'!E7,'2018'!E7,'2019'!E7,'2020'!E7,'2021'!E7,'2022'!E7,'2023'!E7,'2024'!E7,'2025'!E7)</f>
        <v/>
      </c>
      <c r="F7" s="8">
        <f>AVERAGE('1940'!F7,'1941'!F7,'1942'!F7,'1943'!F7,'1944'!F7,'1945'!F7,'1946'!F7,'1947'!F7,'1948'!F7,'1949'!F7,'1950'!F7,'1951'!F7,'1952'!F7,'1953'!F7,'1954'!F7,'1955'!F7,'1956'!F7,'1957'!F7,'1958'!F7,'1959'!F7,'1960'!F7,'1961'!F7,'1962'!F7,'1963'!F7,'1964'!F7,'1965'!F7,'1966'!F7,'1967'!F7,'1968'!F7,'1969'!F7,'1970'!F7,'1971'!F7,'1972'!F7,'1973'!F7,'1974'!F7,'1975'!F7,'1976'!F7,'1977'!F7,'1978'!F7,'1979'!F7,'1980'!F7,'1981'!F7,'1982'!F7,'1983'!F7,'1984'!F7,'1985'!F7,'1986'!F7,'1987'!F7,'1988'!F7,'1989'!F7,'1990'!F7,'1991'!F7,'1992'!F7,'1993'!F7,'1994'!F7,'1995'!F7,'1996'!F7,'1997'!F7,'1998'!F7,'1999'!F7,'2000'!F7,'2001'!F7,'2002'!F7,'2003'!F7,'2004'!F7,'2005'!F7,'2006'!F7,'2007'!F7,'2008'!F7,'2009'!F7,'2010'!F7,'2011'!F7,'2012'!F7,'2013'!F7,'2014'!F7,'2015'!F7,'2016'!F7,'2017'!F7,'2018'!F7,'2019'!F7,'2020'!F7,'2021'!F7,'2022'!F7,'2023'!F7,'2024'!F7,'2025'!F7)</f>
        <v/>
      </c>
      <c r="G7" s="8">
        <f>AVERAGE('1940'!G7,'1941'!G7,'1942'!G7,'1943'!G7,'1944'!G7,'1945'!G7,'1946'!G7,'1947'!G7,'1948'!G7,'1949'!G7,'1950'!G7,'1951'!G7,'1952'!G7,'1953'!G7,'1954'!G7,'1955'!G7,'1956'!G7,'1957'!G7,'1958'!G7,'1959'!G7,'1960'!G7,'1961'!G7,'1962'!G7,'1963'!G7,'1964'!G7,'1965'!G7,'1966'!G7,'1967'!G7,'1968'!G7,'1969'!G7,'1970'!G7,'1971'!G7,'1972'!G7,'1973'!G7,'1974'!G7,'1975'!G7,'1976'!G7,'1977'!G7,'1978'!G7,'1979'!G7,'1980'!G7,'1981'!G7,'1982'!G7,'1983'!G7,'1984'!G7,'1985'!G7,'1986'!G7,'1987'!G7,'1988'!G7,'1989'!G7,'1990'!G7,'1991'!G7,'1992'!G7,'1993'!G7,'1994'!G7,'1995'!G7,'1996'!G7,'1997'!G7,'1998'!G7,'1999'!G7,'2000'!G7,'2001'!G7,'2002'!G7,'2003'!G7,'2004'!G7,'2005'!G7,'2006'!G7,'2007'!G7,'2008'!G7,'2009'!G7,'2010'!G7,'2011'!G7,'2012'!G7,'2013'!G7,'2014'!G7,'2015'!G7,'2016'!G7,'2017'!G7,'2018'!G7,'2019'!G7,'2020'!G7,'2021'!G7,'2022'!G7,'2023'!G7,'2024'!G7,'2025'!G7)</f>
        <v/>
      </c>
      <c r="H7" s="8">
        <f>AVERAGE('1940'!H7,'1941'!H7,'1942'!H7,'1943'!H7,'1944'!H7,'1945'!H7,'1946'!H7,'1947'!H7,'1948'!H7,'1949'!H7,'1950'!H7,'1951'!H7,'1952'!H7,'1953'!H7,'1954'!H7,'1955'!H7,'1956'!H7,'1957'!H7,'1958'!H7,'1959'!H7,'1960'!H7,'1961'!H7,'1962'!H7,'1963'!H7,'1964'!H7,'1965'!H7,'1966'!H7,'1967'!H7,'1968'!H7,'1969'!H7,'1970'!H7,'1971'!H7,'1972'!H7,'1973'!H7,'1974'!H7,'1975'!H7,'1976'!H7,'1977'!H7,'1978'!H7,'1979'!H7,'1980'!H7,'1981'!H7,'1982'!H7,'1983'!H7,'1984'!H7,'1985'!H7,'1986'!H7,'1987'!H7,'1988'!H7,'1989'!H7,'1990'!H7,'1991'!H7,'1992'!H7,'1993'!H7,'1994'!H7,'1995'!H7,'1996'!H7,'1997'!H7,'1998'!H7,'1999'!H7,'2000'!H7,'2001'!H7,'2002'!H7,'2003'!H7,'2004'!H7,'2005'!H7,'2006'!H7,'2007'!H7,'2008'!H7,'2009'!H7,'2010'!H7,'2011'!H7,'2012'!H7,'2013'!H7,'2014'!H7,'2015'!H7,'2016'!H7,'2017'!H7,'2018'!H7,'2019'!H7,'2020'!H7,'2021'!H7,'2022'!H7,'2023'!H7,'2024'!H7,'2025'!H7)</f>
        <v/>
      </c>
      <c r="I7" s="8">
        <f>AVERAGE('1940'!I7,'1941'!I7,'1942'!I7,'1943'!I7,'1944'!I7,'1945'!I7,'1946'!I7,'1947'!I7,'1948'!I7,'1949'!I7,'1950'!I7,'1951'!I7,'1952'!I7,'1953'!I7,'1954'!I7,'1955'!I7,'1956'!I7,'1957'!I7,'1958'!I7,'1959'!I7,'1960'!I7,'1961'!I7,'1962'!I7,'1963'!I7,'1964'!I7,'1965'!I7,'1966'!I7,'1967'!I7,'1968'!I7,'1969'!I7,'1970'!I7,'1971'!I7,'1972'!I7,'1973'!I7,'1974'!I7,'1975'!I7,'1976'!I7,'1977'!I7,'1978'!I7,'1979'!I7,'1980'!I7,'1981'!I7,'1982'!I7,'1983'!I7,'1984'!I7,'1985'!I7,'1986'!I7,'1987'!I7,'1988'!I7,'1989'!I7,'1990'!I7,'1991'!I7,'1992'!I7,'1993'!I7,'1994'!I7,'1995'!I7,'1996'!I7,'1997'!I7,'1998'!I7,'1999'!I7,'2000'!I7,'2001'!I7,'2002'!I7,'2003'!I7,'2004'!I7,'2005'!I7,'2006'!I7,'2007'!I7,'2008'!I7,'2009'!I7,'2010'!I7,'2011'!I7,'2012'!I7,'2013'!I7,'2014'!I7,'2015'!I7,'2016'!I7,'2017'!I7,'2018'!I7,'2019'!I7,'2020'!I7,'2021'!I7,'2022'!I7,'2023'!I7,'2024'!I7,'2025'!I7)</f>
        <v/>
      </c>
      <c r="J7" s="8">
        <f>AVERAGE('1940'!J7,'1941'!J7,'1942'!J7,'1943'!J7,'1944'!J7,'1945'!J7,'1946'!J7,'1947'!J7,'1948'!J7,'1949'!J7,'1950'!J7,'1951'!J7,'1952'!J7,'1953'!J7,'1954'!J7,'1955'!J7,'1956'!J7,'1957'!J7,'1958'!J7,'1959'!J7,'1960'!J7,'1961'!J7,'1962'!J7,'1963'!J7,'1964'!J7,'1965'!J7,'1966'!J7,'1967'!J7,'1968'!J7,'1969'!J7,'1970'!J7,'1971'!J7,'1972'!J7,'1973'!J7,'1974'!J7,'1975'!J7,'1976'!J7,'1977'!J7,'1978'!J7,'1979'!J7,'1980'!J7,'1981'!J7,'1982'!J7,'1983'!J7,'1984'!J7,'1985'!J7,'1986'!J7,'1987'!J7,'1988'!J7,'1989'!J7,'1990'!J7,'1991'!J7,'1992'!J7,'1993'!J7,'1994'!J7,'1995'!J7,'1996'!J7,'1997'!J7,'1998'!J7,'1999'!J7,'2000'!J7,'2001'!J7,'2002'!J7,'2003'!J7,'2004'!J7,'2005'!J7,'2006'!J7,'2007'!J7,'2008'!J7,'2009'!J7,'2010'!J7,'2011'!J7,'2012'!J7,'2013'!J7,'2014'!J7,'2015'!J7,'2016'!J7,'2017'!J7,'2018'!J7,'2019'!J7,'2020'!J7,'2021'!J7,'2022'!J7,'2023'!J7,'2024'!J7,'2025'!J7)</f>
        <v/>
      </c>
      <c r="K7" s="8">
        <f>AVERAGE('1940'!K7,'1941'!K7,'1942'!K7,'1943'!K7,'1944'!K7,'1945'!K7,'1946'!K7,'1947'!K7,'1948'!K7,'1949'!K7,'1950'!K7,'1951'!K7,'1952'!K7,'1953'!K7,'1954'!K7,'1955'!K7,'1956'!K7,'1957'!K7,'1958'!K7,'1959'!K7,'1960'!K7,'1961'!K7,'1962'!K7,'1963'!K7,'1964'!K7,'1965'!K7,'1966'!K7,'1967'!K7,'1968'!K7,'1969'!K7,'1970'!K7,'1971'!K7,'1972'!K7,'1973'!K7,'1974'!K7,'1975'!K7,'1976'!K7,'1977'!K7,'1978'!K7,'1979'!K7,'1980'!K7,'1981'!K7,'1982'!K7,'1983'!K7,'1984'!K7,'1985'!K7,'1986'!K7,'1987'!K7,'1988'!K7,'1989'!K7,'1990'!K7,'1991'!K7,'1992'!K7,'1993'!K7,'1994'!K7,'1995'!K7,'1996'!K7,'1997'!K7,'1998'!K7,'1999'!K7,'2000'!K7,'2001'!K7,'2002'!K7,'2003'!K7,'2004'!K7,'2005'!K7,'2006'!K7,'2007'!K7,'2008'!K7,'2009'!K7,'2010'!K7,'2011'!K7,'2012'!K7,'2013'!K7,'2014'!K7,'2015'!K7,'2016'!K7,'2017'!K7,'2018'!K7,'2019'!K7,'2020'!K7,'2021'!K7,'2022'!K7,'2023'!K7,'2024'!K7,'2025'!K7)</f>
        <v/>
      </c>
      <c r="L7" s="8">
        <f>AVERAGE('1940'!L7,'1941'!L7,'1942'!L7,'1943'!L7,'1944'!L7,'1945'!L7,'1946'!L7,'1947'!L7,'1948'!L7,'1949'!L7,'1950'!L7,'1951'!L7,'1952'!L7,'1953'!L7,'1954'!L7,'1955'!L7,'1956'!L7,'1957'!L7,'1958'!L7,'1959'!L7,'1960'!L7,'1961'!L7,'1962'!L7,'1963'!L7,'1964'!L7,'1965'!L7,'1966'!L7,'1967'!L7,'1968'!L7,'1969'!L7,'1970'!L7,'1971'!L7,'1972'!L7,'1973'!L7,'1974'!L7,'1975'!L7,'1976'!L7,'1977'!L7,'1978'!L7,'1979'!L7,'1980'!L7,'1981'!L7,'1982'!L7,'1983'!L7,'1984'!L7,'1985'!L7,'1986'!L7,'1987'!L7,'1988'!L7,'1989'!L7,'1990'!L7,'1991'!L7,'1992'!L7,'1993'!L7,'1994'!L7,'1995'!L7,'1996'!L7,'1997'!L7,'1998'!L7,'1999'!L7,'2000'!L7,'2001'!L7,'2002'!L7,'2003'!L7,'2004'!L7,'2005'!L7,'2006'!L7,'2007'!L7,'2008'!L7,'2009'!L7,'2010'!L7,'2011'!L7,'2012'!L7,'2013'!L7,'2014'!L7,'2015'!L7,'2016'!L7,'2017'!L7,'2018'!L7,'2019'!L7,'2020'!L7,'2021'!L7,'2022'!L7,'2023'!L7,'2024'!L7,'2025'!L7)</f>
        <v/>
      </c>
      <c r="M7" s="8">
        <f>AVERAGE('1940'!M7,'1941'!M7,'1942'!M7,'1943'!M7,'1944'!M7,'1945'!M7,'1946'!M7,'1947'!M7,'1948'!M7,'1949'!M7,'1950'!M7,'1951'!M7,'1952'!M7,'1953'!M7,'1954'!M7,'1955'!M7,'1956'!M7,'1957'!M7,'1958'!M7,'1959'!M7,'1960'!M7,'1961'!M7,'1962'!M7,'1963'!M7,'1964'!M7,'1965'!M7,'1966'!M7,'1967'!M7,'1968'!M7,'1969'!M7,'1970'!M7,'1971'!M7,'1972'!M7,'1973'!M7,'1974'!M7,'1975'!M7,'1976'!M7,'1977'!M7,'1978'!M7,'1979'!M7,'1980'!M7,'1981'!M7,'1982'!M7,'1983'!M7,'1984'!M7,'1985'!M7,'1986'!M7,'1987'!M7,'1988'!M7,'1989'!M7,'1990'!M7,'1991'!M7,'1992'!M7,'1993'!M7,'1994'!M7,'1995'!M7,'1996'!M7,'1997'!M7,'1998'!M7,'1999'!M7,'2000'!M7,'2001'!M7,'2002'!M7,'2003'!M7,'2004'!M7,'2005'!M7,'2006'!M7,'2007'!M7,'2008'!M7,'2009'!M7,'2010'!M7,'2011'!M7,'2012'!M7,'2013'!M7,'2014'!M7,'2015'!M7,'2016'!M7,'2017'!M7,'2018'!M7,'2019'!M7,'2020'!M7,'2021'!M7,'2022'!M7,'2023'!M7,'2024'!M7,'2025'!M7)</f>
        <v/>
      </c>
      <c r="N7" s="9">
        <f>AVERAGE(B7:M7)</f>
        <v/>
      </c>
    </row>
    <row r="8">
      <c r="A8" s="7" t="inlineStr">
        <is>
          <t>Srednja minimalna</t>
        </is>
      </c>
      <c r="B8" s="8">
        <f>AVERAGE('1940'!B8,'1941'!B8,'1942'!B8,'1943'!B8,'1944'!B8,'1945'!B8,'1946'!B8,'1947'!B8,'1948'!B8,'1949'!B8,'1950'!B8,'1951'!B8,'1952'!B8,'1953'!B8,'1954'!B8,'1955'!B8,'1956'!B8,'1957'!B8,'1958'!B8,'1959'!B8,'1960'!B8,'1961'!B8,'1962'!B8,'1963'!B8,'1964'!B8,'1965'!B8,'1966'!B8,'1967'!B8,'1968'!B8,'1969'!B8,'1970'!B8,'1971'!B8,'1972'!B8,'1973'!B8,'1974'!B8,'1975'!B8,'1976'!B8,'1977'!B8,'1978'!B8,'1979'!B8,'1980'!B8,'1981'!B8,'1982'!B8,'1983'!B8,'1984'!B8,'1985'!B8,'1986'!B8,'1987'!B8,'1988'!B8,'1989'!B8,'1990'!B8,'1991'!B8,'1992'!B8,'1993'!B8,'1994'!B8,'1995'!B8,'1996'!B8,'1997'!B8,'1998'!B8,'1999'!B8,'2000'!B8,'2001'!B8,'2002'!B8,'2003'!B8,'2004'!B8,'2005'!B8,'2006'!B8,'2007'!B8,'2008'!B8,'2009'!B8,'2010'!B8,'2011'!B8,'2012'!B8,'2013'!B8,'2014'!B8,'2015'!B8,'2016'!B8,'2017'!B8,'2018'!B8,'2019'!B8,'2020'!B8,'2021'!B8,'2022'!B8,'2023'!B8,'2024'!B8,'2025'!B8)</f>
        <v/>
      </c>
      <c r="C8" s="8">
        <f>AVERAGE('1940'!C8,'1941'!C8,'1942'!C8,'1943'!C8,'1944'!C8,'1945'!C8,'1946'!C8,'1947'!C8,'1948'!C8,'1949'!C8,'1950'!C8,'1951'!C8,'1952'!C8,'1953'!C8,'1954'!C8,'1955'!C8,'1956'!C8,'1957'!C8,'1958'!C8,'1959'!C8,'1960'!C8,'1961'!C8,'1962'!C8,'1963'!C8,'1964'!C8,'1965'!C8,'1966'!C8,'1967'!C8,'1968'!C8,'1969'!C8,'1970'!C8,'1971'!C8,'1972'!C8,'1973'!C8,'1974'!C8,'1975'!C8,'1976'!C8,'1977'!C8,'1978'!C8,'1979'!C8,'1980'!C8,'1981'!C8,'1982'!C8,'1983'!C8,'1984'!C8,'1985'!C8,'1986'!C8,'1987'!C8,'1988'!C8,'1989'!C8,'1990'!C8,'1991'!C8,'1992'!C8,'1993'!C8,'1994'!C8,'1995'!C8,'1996'!C8,'1997'!C8,'1998'!C8,'1999'!C8,'2000'!C8,'2001'!C8,'2002'!C8,'2003'!C8,'2004'!C8,'2005'!C8,'2006'!C8,'2007'!C8,'2008'!C8,'2009'!C8,'2010'!C8,'2011'!C8,'2012'!C8,'2013'!C8,'2014'!C8,'2015'!C8,'2016'!C8,'2017'!C8,'2018'!C8,'2019'!C8,'2020'!C8,'2021'!C8,'2022'!C8,'2023'!C8,'2024'!C8,'2025'!C8)</f>
        <v/>
      </c>
      <c r="D8" s="8">
        <f>AVERAGE('1940'!D8,'1941'!D8,'1942'!D8,'1943'!D8,'1944'!D8,'1945'!D8,'1946'!D8,'1947'!D8,'1948'!D8,'1949'!D8,'1950'!D8,'1951'!D8,'1952'!D8,'1953'!D8,'1954'!D8,'1955'!D8,'1956'!D8,'1957'!D8,'1958'!D8,'1959'!D8,'1960'!D8,'1961'!D8,'1962'!D8,'1963'!D8,'1964'!D8,'1965'!D8,'1966'!D8,'1967'!D8,'1968'!D8,'1969'!D8,'1970'!D8,'1971'!D8,'1972'!D8,'1973'!D8,'1974'!D8,'1975'!D8,'1976'!D8,'1977'!D8,'1978'!D8,'1979'!D8,'1980'!D8,'1981'!D8,'1982'!D8,'1983'!D8,'1984'!D8,'1985'!D8,'1986'!D8,'1987'!D8,'1988'!D8,'1989'!D8,'1990'!D8,'1991'!D8,'1992'!D8,'1993'!D8,'1994'!D8,'1995'!D8,'1996'!D8,'1997'!D8,'1998'!D8,'1999'!D8,'2000'!D8,'2001'!D8,'2002'!D8,'2003'!D8,'2004'!D8,'2005'!D8,'2006'!D8,'2007'!D8,'2008'!D8,'2009'!D8,'2010'!D8,'2011'!D8,'2012'!D8,'2013'!D8,'2014'!D8,'2015'!D8,'2016'!D8,'2017'!D8,'2018'!D8,'2019'!D8,'2020'!D8,'2021'!D8,'2022'!D8,'2023'!D8,'2024'!D8,'2025'!D8)</f>
        <v/>
      </c>
      <c r="E8" s="8">
        <f>AVERAGE('1940'!E8,'1941'!E8,'1942'!E8,'1943'!E8,'1944'!E8,'1945'!E8,'1946'!E8,'1947'!E8,'1948'!E8,'1949'!E8,'1950'!E8,'1951'!E8,'1952'!E8,'1953'!E8,'1954'!E8,'1955'!E8,'1956'!E8,'1957'!E8,'1958'!E8,'1959'!E8,'1960'!E8,'1961'!E8,'1962'!E8,'1963'!E8,'1964'!E8,'1965'!E8,'1966'!E8,'1967'!E8,'1968'!E8,'1969'!E8,'1970'!E8,'1971'!E8,'1972'!E8,'1973'!E8,'1974'!E8,'1975'!E8,'1976'!E8,'1977'!E8,'1978'!E8,'1979'!E8,'1980'!E8,'1981'!E8,'1982'!E8,'1983'!E8,'1984'!E8,'1985'!E8,'1986'!E8,'1987'!E8,'1988'!E8,'1989'!E8,'1990'!E8,'1991'!E8,'1992'!E8,'1993'!E8,'1994'!E8,'1995'!E8,'1996'!E8,'1997'!E8,'1998'!E8,'1999'!E8,'2000'!E8,'2001'!E8,'2002'!E8,'2003'!E8,'2004'!E8,'2005'!E8,'2006'!E8,'2007'!E8,'2008'!E8,'2009'!E8,'2010'!E8,'2011'!E8,'2012'!E8,'2013'!E8,'2014'!E8,'2015'!E8,'2016'!E8,'2017'!E8,'2018'!E8,'2019'!E8,'2020'!E8,'2021'!E8,'2022'!E8,'2023'!E8,'2024'!E8,'2025'!E8)</f>
        <v/>
      </c>
      <c r="F8" s="8">
        <f>AVERAGE('1940'!F8,'1941'!F8,'1942'!F8,'1943'!F8,'1944'!F8,'1945'!F8,'1946'!F8,'1947'!F8,'1948'!F8,'1949'!F8,'1950'!F8,'1951'!F8,'1952'!F8,'1953'!F8,'1954'!F8,'1955'!F8,'1956'!F8,'1957'!F8,'1958'!F8,'1959'!F8,'1960'!F8,'1961'!F8,'1962'!F8,'1963'!F8,'1964'!F8,'1965'!F8,'1966'!F8,'1967'!F8,'1968'!F8,'1969'!F8,'1970'!F8,'1971'!F8,'1972'!F8,'1973'!F8,'1974'!F8,'1975'!F8,'1976'!F8,'1977'!F8,'1978'!F8,'1979'!F8,'1980'!F8,'1981'!F8,'1982'!F8,'1983'!F8,'1984'!F8,'1985'!F8,'1986'!F8,'1987'!F8,'1988'!F8,'1989'!F8,'1990'!F8,'1991'!F8,'1992'!F8,'1993'!F8,'1994'!F8,'1995'!F8,'1996'!F8,'1997'!F8,'1998'!F8,'1999'!F8,'2000'!F8,'2001'!F8,'2002'!F8,'2003'!F8,'2004'!F8,'2005'!F8,'2006'!F8,'2007'!F8,'2008'!F8,'2009'!F8,'2010'!F8,'2011'!F8,'2012'!F8,'2013'!F8,'2014'!F8,'2015'!F8,'2016'!F8,'2017'!F8,'2018'!F8,'2019'!F8,'2020'!F8,'2021'!F8,'2022'!F8,'2023'!F8,'2024'!F8,'2025'!F8)</f>
        <v/>
      </c>
      <c r="G8" s="8">
        <f>AVERAGE('1940'!G8,'1941'!G8,'1942'!G8,'1943'!G8,'1944'!G8,'1945'!G8,'1946'!G8,'1947'!G8,'1948'!G8,'1949'!G8,'1950'!G8,'1951'!G8,'1952'!G8,'1953'!G8,'1954'!G8,'1955'!G8,'1956'!G8,'1957'!G8,'1958'!G8,'1959'!G8,'1960'!G8,'1961'!G8,'1962'!G8,'1963'!G8,'1964'!G8,'1965'!G8,'1966'!G8,'1967'!G8,'1968'!G8,'1969'!G8,'1970'!G8,'1971'!G8,'1972'!G8,'1973'!G8,'1974'!G8,'1975'!G8,'1976'!G8,'1977'!G8,'1978'!G8,'1979'!G8,'1980'!G8,'1981'!G8,'1982'!G8,'1983'!G8,'1984'!G8,'1985'!G8,'1986'!G8,'1987'!G8,'1988'!G8,'1989'!G8,'1990'!G8,'1991'!G8,'1992'!G8,'1993'!G8,'1994'!G8,'1995'!G8,'1996'!G8,'1997'!G8,'1998'!G8,'1999'!G8,'2000'!G8,'2001'!G8,'2002'!G8,'2003'!G8,'2004'!G8,'2005'!G8,'2006'!G8,'2007'!G8,'2008'!G8,'2009'!G8,'2010'!G8,'2011'!G8,'2012'!G8,'2013'!G8,'2014'!G8,'2015'!G8,'2016'!G8,'2017'!G8,'2018'!G8,'2019'!G8,'2020'!G8,'2021'!G8,'2022'!G8,'2023'!G8,'2024'!G8,'2025'!G8)</f>
        <v/>
      </c>
      <c r="H8" s="8">
        <f>AVERAGE('1940'!H8,'1941'!H8,'1942'!H8,'1943'!H8,'1944'!H8,'1945'!H8,'1946'!H8,'1947'!H8,'1948'!H8,'1949'!H8,'1950'!H8,'1951'!H8,'1952'!H8,'1953'!H8,'1954'!H8,'1955'!H8,'1956'!H8,'1957'!H8,'1958'!H8,'1959'!H8,'1960'!H8,'1961'!H8,'1962'!H8,'1963'!H8,'1964'!H8,'1965'!H8,'1966'!H8,'1967'!H8,'1968'!H8,'1969'!H8,'1970'!H8,'1971'!H8,'1972'!H8,'1973'!H8,'1974'!H8,'1975'!H8,'1976'!H8,'1977'!H8,'1978'!H8,'1979'!H8,'1980'!H8,'1981'!H8,'1982'!H8,'1983'!H8,'1984'!H8,'1985'!H8,'1986'!H8,'1987'!H8,'1988'!H8,'1989'!H8,'1990'!H8,'1991'!H8,'1992'!H8,'1993'!H8,'1994'!H8,'1995'!H8,'1996'!H8,'1997'!H8,'1998'!H8,'1999'!H8,'2000'!H8,'2001'!H8,'2002'!H8,'2003'!H8,'2004'!H8,'2005'!H8,'2006'!H8,'2007'!H8,'2008'!H8,'2009'!H8,'2010'!H8,'2011'!H8,'2012'!H8,'2013'!H8,'2014'!H8,'2015'!H8,'2016'!H8,'2017'!H8,'2018'!H8,'2019'!H8,'2020'!H8,'2021'!H8,'2022'!H8,'2023'!H8,'2024'!H8,'2025'!H8)</f>
        <v/>
      </c>
      <c r="I8" s="8">
        <f>AVERAGE('1940'!I8,'1941'!I8,'1942'!I8,'1943'!I8,'1944'!I8,'1945'!I8,'1946'!I8,'1947'!I8,'1948'!I8,'1949'!I8,'1950'!I8,'1951'!I8,'1952'!I8,'1953'!I8,'1954'!I8,'1955'!I8,'1956'!I8,'1957'!I8,'1958'!I8,'1959'!I8,'1960'!I8,'1961'!I8,'1962'!I8,'1963'!I8,'1964'!I8,'1965'!I8,'1966'!I8,'1967'!I8,'1968'!I8,'1969'!I8,'1970'!I8,'1971'!I8,'1972'!I8,'1973'!I8,'1974'!I8,'1975'!I8,'1976'!I8,'1977'!I8,'1978'!I8,'1979'!I8,'1980'!I8,'1981'!I8,'1982'!I8,'1983'!I8,'1984'!I8,'1985'!I8,'1986'!I8,'1987'!I8,'1988'!I8,'1989'!I8,'1990'!I8,'1991'!I8,'1992'!I8,'1993'!I8,'1994'!I8,'1995'!I8,'1996'!I8,'1997'!I8,'1998'!I8,'1999'!I8,'2000'!I8,'2001'!I8,'2002'!I8,'2003'!I8,'2004'!I8,'2005'!I8,'2006'!I8,'2007'!I8,'2008'!I8,'2009'!I8,'2010'!I8,'2011'!I8,'2012'!I8,'2013'!I8,'2014'!I8,'2015'!I8,'2016'!I8,'2017'!I8,'2018'!I8,'2019'!I8,'2020'!I8,'2021'!I8,'2022'!I8,'2023'!I8,'2024'!I8,'2025'!I8)</f>
        <v/>
      </c>
      <c r="J8" s="8">
        <f>AVERAGE('1940'!J8,'1941'!J8,'1942'!J8,'1943'!J8,'1944'!J8,'1945'!J8,'1946'!J8,'1947'!J8,'1948'!J8,'1949'!J8,'1950'!J8,'1951'!J8,'1952'!J8,'1953'!J8,'1954'!J8,'1955'!J8,'1956'!J8,'1957'!J8,'1958'!J8,'1959'!J8,'1960'!J8,'1961'!J8,'1962'!J8,'1963'!J8,'1964'!J8,'1965'!J8,'1966'!J8,'1967'!J8,'1968'!J8,'1969'!J8,'1970'!J8,'1971'!J8,'1972'!J8,'1973'!J8,'1974'!J8,'1975'!J8,'1976'!J8,'1977'!J8,'1978'!J8,'1979'!J8,'1980'!J8,'1981'!J8,'1982'!J8,'1983'!J8,'1984'!J8,'1985'!J8,'1986'!J8,'1987'!J8,'1988'!J8,'1989'!J8,'1990'!J8,'1991'!J8,'1992'!J8,'1993'!J8,'1994'!J8,'1995'!J8,'1996'!J8,'1997'!J8,'1998'!J8,'1999'!J8,'2000'!J8,'2001'!J8,'2002'!J8,'2003'!J8,'2004'!J8,'2005'!J8,'2006'!J8,'2007'!J8,'2008'!J8,'2009'!J8,'2010'!J8,'2011'!J8,'2012'!J8,'2013'!J8,'2014'!J8,'2015'!J8,'2016'!J8,'2017'!J8,'2018'!J8,'2019'!J8,'2020'!J8,'2021'!J8,'2022'!J8,'2023'!J8,'2024'!J8,'2025'!J8)</f>
        <v/>
      </c>
      <c r="K8" s="8">
        <f>AVERAGE('1940'!K8,'1941'!K8,'1942'!K8,'1943'!K8,'1944'!K8,'1945'!K8,'1946'!K8,'1947'!K8,'1948'!K8,'1949'!K8,'1950'!K8,'1951'!K8,'1952'!K8,'1953'!K8,'1954'!K8,'1955'!K8,'1956'!K8,'1957'!K8,'1958'!K8,'1959'!K8,'1960'!K8,'1961'!K8,'1962'!K8,'1963'!K8,'1964'!K8,'1965'!K8,'1966'!K8,'1967'!K8,'1968'!K8,'1969'!K8,'1970'!K8,'1971'!K8,'1972'!K8,'1973'!K8,'1974'!K8,'1975'!K8,'1976'!K8,'1977'!K8,'1978'!K8,'1979'!K8,'1980'!K8,'1981'!K8,'1982'!K8,'1983'!K8,'1984'!K8,'1985'!K8,'1986'!K8,'1987'!K8,'1988'!K8,'1989'!K8,'1990'!K8,'1991'!K8,'1992'!K8,'1993'!K8,'1994'!K8,'1995'!K8,'1996'!K8,'1997'!K8,'1998'!K8,'1999'!K8,'2000'!K8,'2001'!K8,'2002'!K8,'2003'!K8,'2004'!K8,'2005'!K8,'2006'!K8,'2007'!K8,'2008'!K8,'2009'!K8,'2010'!K8,'2011'!K8,'2012'!K8,'2013'!K8,'2014'!K8,'2015'!K8,'2016'!K8,'2017'!K8,'2018'!K8,'2019'!K8,'2020'!K8,'2021'!K8,'2022'!K8,'2023'!K8,'2024'!K8,'2025'!K8)</f>
        <v/>
      </c>
      <c r="L8" s="8">
        <f>AVERAGE('1940'!L8,'1941'!L8,'1942'!L8,'1943'!L8,'1944'!L8,'1945'!L8,'1946'!L8,'1947'!L8,'1948'!L8,'1949'!L8,'1950'!L8,'1951'!L8,'1952'!L8,'1953'!L8,'1954'!L8,'1955'!L8,'1956'!L8,'1957'!L8,'1958'!L8,'1959'!L8,'1960'!L8,'1961'!L8,'1962'!L8,'1963'!L8,'1964'!L8,'1965'!L8,'1966'!L8,'1967'!L8,'1968'!L8,'1969'!L8,'1970'!L8,'1971'!L8,'1972'!L8,'1973'!L8,'1974'!L8,'1975'!L8,'1976'!L8,'1977'!L8,'1978'!L8,'1979'!L8,'1980'!L8,'1981'!L8,'1982'!L8,'1983'!L8,'1984'!L8,'1985'!L8,'1986'!L8,'1987'!L8,'1988'!L8,'1989'!L8,'1990'!L8,'1991'!L8,'1992'!L8,'1993'!L8,'1994'!L8,'1995'!L8,'1996'!L8,'1997'!L8,'1998'!L8,'1999'!L8,'2000'!L8,'2001'!L8,'2002'!L8,'2003'!L8,'2004'!L8,'2005'!L8,'2006'!L8,'2007'!L8,'2008'!L8,'2009'!L8,'2010'!L8,'2011'!L8,'2012'!L8,'2013'!L8,'2014'!L8,'2015'!L8,'2016'!L8,'2017'!L8,'2018'!L8,'2019'!L8,'2020'!L8,'2021'!L8,'2022'!L8,'2023'!L8,'2024'!L8,'2025'!L8)</f>
        <v/>
      </c>
      <c r="M8" s="8">
        <f>AVERAGE('1940'!M8,'1941'!M8,'1942'!M8,'1943'!M8,'1944'!M8,'1945'!M8,'1946'!M8,'1947'!M8,'1948'!M8,'1949'!M8,'1950'!M8,'1951'!M8,'1952'!M8,'1953'!M8,'1954'!M8,'1955'!M8,'1956'!M8,'1957'!M8,'1958'!M8,'1959'!M8,'1960'!M8,'1961'!M8,'1962'!M8,'1963'!M8,'1964'!M8,'1965'!M8,'1966'!M8,'1967'!M8,'1968'!M8,'1969'!M8,'1970'!M8,'1971'!M8,'1972'!M8,'1973'!M8,'1974'!M8,'1975'!M8,'1976'!M8,'1977'!M8,'1978'!M8,'1979'!M8,'1980'!M8,'1981'!M8,'1982'!M8,'1983'!M8,'1984'!M8,'1985'!M8,'1986'!M8,'1987'!M8,'1988'!M8,'1989'!M8,'1990'!M8,'1991'!M8,'1992'!M8,'1993'!M8,'1994'!M8,'1995'!M8,'1996'!M8,'1997'!M8,'1998'!M8,'1999'!M8,'2000'!M8,'2001'!M8,'2002'!M8,'2003'!M8,'2004'!M8,'2005'!M8,'2006'!M8,'2007'!M8,'2008'!M8,'2009'!M8,'2010'!M8,'2011'!M8,'2012'!M8,'2013'!M8,'2014'!M8,'2015'!M8,'2016'!M8,'2017'!M8,'2018'!M8,'2019'!M8,'2020'!M8,'2021'!M8,'2022'!M8,'2023'!M8,'2024'!M8,'2025'!M8)</f>
        <v/>
      </c>
      <c r="N8" s="9">
        <f>AVERAGE(B8:M8)</f>
        <v/>
      </c>
    </row>
    <row r="9">
      <c r="A9" s="7" t="inlineStr">
        <is>
          <t>Apsolutni maksimum</t>
        </is>
      </c>
      <c r="B9" s="8">
        <f>AVERAGE('1940'!B9,'1941'!B9,'1942'!B9,'1943'!B9,'1944'!B9,'1945'!B9,'1946'!B9,'1947'!B9,'1948'!B9,'1949'!B9,'1950'!B9,'1951'!B9,'1952'!B9,'1953'!B9,'1954'!B9,'1955'!B9,'1956'!B9,'1957'!B9,'1958'!B9,'1959'!B9,'1960'!B9,'1961'!B9,'1962'!B9,'1963'!B9,'1964'!B9,'1965'!B9,'1966'!B9,'1967'!B9,'1968'!B9,'1969'!B9,'1970'!B9,'1971'!B9,'1972'!B9,'1973'!B9,'1974'!B9,'1975'!B9,'1976'!B9,'1977'!B9,'1978'!B9,'1979'!B9,'1980'!B9,'1981'!B9,'1982'!B9,'1983'!B9,'1984'!B9,'1985'!B9,'1986'!B9,'1987'!B9,'1988'!B9,'1989'!B9,'1990'!B9,'1991'!B9,'1992'!B9,'1993'!B9,'1994'!B9,'1995'!B9,'1996'!B9,'1997'!B9,'1998'!B9,'1999'!B9,'2000'!B9,'2001'!B9,'2002'!B9,'2003'!B9,'2004'!B9,'2005'!B9,'2006'!B9,'2007'!B9,'2008'!B9,'2009'!B9,'2010'!B9,'2011'!B9,'2012'!B9,'2013'!B9,'2014'!B9,'2015'!B9,'2016'!B9,'2017'!B9,'2018'!B9,'2019'!B9,'2020'!B9,'2021'!B9,'2022'!B9,'2023'!B9,'2024'!B9,'2025'!B9)</f>
        <v/>
      </c>
      <c r="C9" s="8">
        <f>AVERAGE('1940'!C9,'1941'!C9,'1942'!C9,'1943'!C9,'1944'!C9,'1945'!C9,'1946'!C9,'1947'!C9,'1948'!C9,'1949'!C9,'1950'!C9,'1951'!C9,'1952'!C9,'1953'!C9,'1954'!C9,'1955'!C9,'1956'!C9,'1957'!C9,'1958'!C9,'1959'!C9,'1960'!C9,'1961'!C9,'1962'!C9,'1963'!C9,'1964'!C9,'1965'!C9,'1966'!C9,'1967'!C9,'1968'!C9,'1969'!C9,'1970'!C9,'1971'!C9,'1972'!C9,'1973'!C9,'1974'!C9,'1975'!C9,'1976'!C9,'1977'!C9,'1978'!C9,'1979'!C9,'1980'!C9,'1981'!C9,'1982'!C9,'1983'!C9,'1984'!C9,'1985'!C9,'1986'!C9,'1987'!C9,'1988'!C9,'1989'!C9,'1990'!C9,'1991'!C9,'1992'!C9,'1993'!C9,'1994'!C9,'1995'!C9,'1996'!C9,'1997'!C9,'1998'!C9,'1999'!C9,'2000'!C9,'2001'!C9,'2002'!C9,'2003'!C9,'2004'!C9,'2005'!C9,'2006'!C9,'2007'!C9,'2008'!C9,'2009'!C9,'2010'!C9,'2011'!C9,'2012'!C9,'2013'!C9,'2014'!C9,'2015'!C9,'2016'!C9,'2017'!C9,'2018'!C9,'2019'!C9,'2020'!C9,'2021'!C9,'2022'!C9,'2023'!C9,'2024'!C9,'2025'!C9)</f>
        <v/>
      </c>
      <c r="D9" s="8">
        <f>AVERAGE('1940'!D9,'1941'!D9,'1942'!D9,'1943'!D9,'1944'!D9,'1945'!D9,'1946'!D9,'1947'!D9,'1948'!D9,'1949'!D9,'1950'!D9,'1951'!D9,'1952'!D9,'1953'!D9,'1954'!D9,'1955'!D9,'1956'!D9,'1957'!D9,'1958'!D9,'1959'!D9,'1960'!D9,'1961'!D9,'1962'!D9,'1963'!D9,'1964'!D9,'1965'!D9,'1966'!D9,'1967'!D9,'1968'!D9,'1969'!D9,'1970'!D9,'1971'!D9,'1972'!D9,'1973'!D9,'1974'!D9,'1975'!D9,'1976'!D9,'1977'!D9,'1978'!D9,'1979'!D9,'1980'!D9,'1981'!D9,'1982'!D9,'1983'!D9,'1984'!D9,'1985'!D9,'1986'!D9,'1987'!D9,'1988'!D9,'1989'!D9,'1990'!D9,'1991'!D9,'1992'!D9,'1993'!D9,'1994'!D9,'1995'!D9,'1996'!D9,'1997'!D9,'1998'!D9,'1999'!D9,'2000'!D9,'2001'!D9,'2002'!D9,'2003'!D9,'2004'!D9,'2005'!D9,'2006'!D9,'2007'!D9,'2008'!D9,'2009'!D9,'2010'!D9,'2011'!D9,'2012'!D9,'2013'!D9,'2014'!D9,'2015'!D9,'2016'!D9,'2017'!D9,'2018'!D9,'2019'!D9,'2020'!D9,'2021'!D9,'2022'!D9,'2023'!D9,'2024'!D9,'2025'!D9)</f>
        <v/>
      </c>
      <c r="E9" s="8">
        <f>AVERAGE('1940'!E9,'1941'!E9,'1942'!E9,'1943'!E9,'1944'!E9,'1945'!E9,'1946'!E9,'1947'!E9,'1948'!E9,'1949'!E9,'1950'!E9,'1951'!E9,'1952'!E9,'1953'!E9,'1954'!E9,'1955'!E9,'1956'!E9,'1957'!E9,'1958'!E9,'1959'!E9,'1960'!E9,'1961'!E9,'1962'!E9,'1963'!E9,'1964'!E9,'1965'!E9,'1966'!E9,'1967'!E9,'1968'!E9,'1969'!E9,'1970'!E9,'1971'!E9,'1972'!E9,'1973'!E9,'1974'!E9,'1975'!E9,'1976'!E9,'1977'!E9,'1978'!E9,'1979'!E9,'1980'!E9,'1981'!E9,'1982'!E9,'1983'!E9,'1984'!E9,'1985'!E9,'1986'!E9,'1987'!E9,'1988'!E9,'1989'!E9,'1990'!E9,'1991'!E9,'1992'!E9,'1993'!E9,'1994'!E9,'1995'!E9,'1996'!E9,'1997'!E9,'1998'!E9,'1999'!E9,'2000'!E9,'2001'!E9,'2002'!E9,'2003'!E9,'2004'!E9,'2005'!E9,'2006'!E9,'2007'!E9,'2008'!E9,'2009'!E9,'2010'!E9,'2011'!E9,'2012'!E9,'2013'!E9,'2014'!E9,'2015'!E9,'2016'!E9,'2017'!E9,'2018'!E9,'2019'!E9,'2020'!E9,'2021'!E9,'2022'!E9,'2023'!E9,'2024'!E9,'2025'!E9)</f>
        <v/>
      </c>
      <c r="F9" s="8">
        <f>AVERAGE('1940'!F9,'1941'!F9,'1942'!F9,'1943'!F9,'1944'!F9,'1945'!F9,'1946'!F9,'1947'!F9,'1948'!F9,'1949'!F9,'1950'!F9,'1951'!F9,'1952'!F9,'1953'!F9,'1954'!F9,'1955'!F9,'1956'!F9,'1957'!F9,'1958'!F9,'1959'!F9,'1960'!F9,'1961'!F9,'1962'!F9,'1963'!F9,'1964'!F9,'1965'!F9,'1966'!F9,'1967'!F9,'1968'!F9,'1969'!F9,'1970'!F9,'1971'!F9,'1972'!F9,'1973'!F9,'1974'!F9,'1975'!F9,'1976'!F9,'1977'!F9,'1978'!F9,'1979'!F9,'1980'!F9,'1981'!F9,'1982'!F9,'1983'!F9,'1984'!F9,'1985'!F9,'1986'!F9,'1987'!F9,'1988'!F9,'1989'!F9,'1990'!F9,'1991'!F9,'1992'!F9,'1993'!F9,'1994'!F9,'1995'!F9,'1996'!F9,'1997'!F9,'1998'!F9,'1999'!F9,'2000'!F9,'2001'!F9,'2002'!F9,'2003'!F9,'2004'!F9,'2005'!F9,'2006'!F9,'2007'!F9,'2008'!F9,'2009'!F9,'2010'!F9,'2011'!F9,'2012'!F9,'2013'!F9,'2014'!F9,'2015'!F9,'2016'!F9,'2017'!F9,'2018'!F9,'2019'!F9,'2020'!F9,'2021'!F9,'2022'!F9,'2023'!F9,'2024'!F9,'2025'!F9)</f>
        <v/>
      </c>
      <c r="G9" s="8">
        <f>AVERAGE('1940'!G9,'1941'!G9,'1942'!G9,'1943'!G9,'1944'!G9,'1945'!G9,'1946'!G9,'1947'!G9,'1948'!G9,'1949'!G9,'1950'!G9,'1951'!G9,'1952'!G9,'1953'!G9,'1954'!G9,'1955'!G9,'1956'!G9,'1957'!G9,'1958'!G9,'1959'!G9,'1960'!G9,'1961'!G9,'1962'!G9,'1963'!G9,'1964'!G9,'1965'!G9,'1966'!G9,'1967'!G9,'1968'!G9,'1969'!G9,'1970'!G9,'1971'!G9,'1972'!G9,'1973'!G9,'1974'!G9,'1975'!G9,'1976'!G9,'1977'!G9,'1978'!G9,'1979'!G9,'1980'!G9,'1981'!G9,'1982'!G9,'1983'!G9,'1984'!G9,'1985'!G9,'1986'!G9,'1987'!G9,'1988'!G9,'1989'!G9,'1990'!G9,'1991'!G9,'1992'!G9,'1993'!G9,'1994'!G9,'1995'!G9,'1996'!G9,'1997'!G9,'1998'!G9,'1999'!G9,'2000'!G9,'2001'!G9,'2002'!G9,'2003'!G9,'2004'!G9,'2005'!G9,'2006'!G9,'2007'!G9,'2008'!G9,'2009'!G9,'2010'!G9,'2011'!G9,'2012'!G9,'2013'!G9,'2014'!G9,'2015'!G9,'2016'!G9,'2017'!G9,'2018'!G9,'2019'!G9,'2020'!G9,'2021'!G9,'2022'!G9,'2023'!G9,'2024'!G9,'2025'!G9)</f>
        <v/>
      </c>
      <c r="H9" s="8">
        <f>AVERAGE('1940'!H9,'1941'!H9,'1942'!H9,'1943'!H9,'1944'!H9,'1945'!H9,'1946'!H9,'1947'!H9,'1948'!H9,'1949'!H9,'1950'!H9,'1951'!H9,'1952'!H9,'1953'!H9,'1954'!H9,'1955'!H9,'1956'!H9,'1957'!H9,'1958'!H9,'1959'!H9,'1960'!H9,'1961'!H9,'1962'!H9,'1963'!H9,'1964'!H9,'1965'!H9,'1966'!H9,'1967'!H9,'1968'!H9,'1969'!H9,'1970'!H9,'1971'!H9,'1972'!H9,'1973'!H9,'1974'!H9,'1975'!H9,'1976'!H9,'1977'!H9,'1978'!H9,'1979'!H9,'1980'!H9,'1981'!H9,'1982'!H9,'1983'!H9,'1984'!H9,'1985'!H9,'1986'!H9,'1987'!H9,'1988'!H9,'1989'!H9,'1990'!H9,'1991'!H9,'1992'!H9,'1993'!H9,'1994'!H9,'1995'!H9,'1996'!H9,'1997'!H9,'1998'!H9,'1999'!H9,'2000'!H9,'2001'!H9,'2002'!H9,'2003'!H9,'2004'!H9,'2005'!H9,'2006'!H9,'2007'!H9,'2008'!H9,'2009'!H9,'2010'!H9,'2011'!H9,'2012'!H9,'2013'!H9,'2014'!H9,'2015'!H9,'2016'!H9,'2017'!H9,'2018'!H9,'2019'!H9,'2020'!H9,'2021'!H9,'2022'!H9,'2023'!H9,'2024'!H9,'2025'!H9)</f>
        <v/>
      </c>
      <c r="I9" s="8">
        <f>AVERAGE('1940'!I9,'1941'!I9,'1942'!I9,'1943'!I9,'1944'!I9,'1945'!I9,'1946'!I9,'1947'!I9,'1948'!I9,'1949'!I9,'1950'!I9,'1951'!I9,'1952'!I9,'1953'!I9,'1954'!I9,'1955'!I9,'1956'!I9,'1957'!I9,'1958'!I9,'1959'!I9,'1960'!I9,'1961'!I9,'1962'!I9,'1963'!I9,'1964'!I9,'1965'!I9,'1966'!I9,'1967'!I9,'1968'!I9,'1969'!I9,'1970'!I9,'1971'!I9,'1972'!I9,'1973'!I9,'1974'!I9,'1975'!I9,'1976'!I9,'1977'!I9,'1978'!I9,'1979'!I9,'1980'!I9,'1981'!I9,'1982'!I9,'1983'!I9,'1984'!I9,'1985'!I9,'1986'!I9,'1987'!I9,'1988'!I9,'1989'!I9,'1990'!I9,'1991'!I9,'1992'!I9,'1993'!I9,'1994'!I9,'1995'!I9,'1996'!I9,'1997'!I9,'1998'!I9,'1999'!I9,'2000'!I9,'2001'!I9,'2002'!I9,'2003'!I9,'2004'!I9,'2005'!I9,'2006'!I9,'2007'!I9,'2008'!I9,'2009'!I9,'2010'!I9,'2011'!I9,'2012'!I9,'2013'!I9,'2014'!I9,'2015'!I9,'2016'!I9,'2017'!I9,'2018'!I9,'2019'!I9,'2020'!I9,'2021'!I9,'2022'!I9,'2023'!I9,'2024'!I9,'2025'!I9)</f>
        <v/>
      </c>
      <c r="J9" s="8">
        <f>AVERAGE('1940'!J9,'1941'!J9,'1942'!J9,'1943'!J9,'1944'!J9,'1945'!J9,'1946'!J9,'1947'!J9,'1948'!J9,'1949'!J9,'1950'!J9,'1951'!J9,'1952'!J9,'1953'!J9,'1954'!J9,'1955'!J9,'1956'!J9,'1957'!J9,'1958'!J9,'1959'!J9,'1960'!J9,'1961'!J9,'1962'!J9,'1963'!J9,'1964'!J9,'1965'!J9,'1966'!J9,'1967'!J9,'1968'!J9,'1969'!J9,'1970'!J9,'1971'!J9,'1972'!J9,'1973'!J9,'1974'!J9,'1975'!J9,'1976'!J9,'1977'!J9,'1978'!J9,'1979'!J9,'1980'!J9,'1981'!J9,'1982'!J9,'1983'!J9,'1984'!J9,'1985'!J9,'1986'!J9,'1987'!J9,'1988'!J9,'1989'!J9,'1990'!J9,'1991'!J9,'1992'!J9,'1993'!J9,'1994'!J9,'1995'!J9,'1996'!J9,'1997'!J9,'1998'!J9,'1999'!J9,'2000'!J9,'2001'!J9,'2002'!J9,'2003'!J9,'2004'!J9,'2005'!J9,'2006'!J9,'2007'!J9,'2008'!J9,'2009'!J9,'2010'!J9,'2011'!J9,'2012'!J9,'2013'!J9,'2014'!J9,'2015'!J9,'2016'!J9,'2017'!J9,'2018'!J9,'2019'!J9,'2020'!J9,'2021'!J9,'2022'!J9,'2023'!J9,'2024'!J9,'2025'!J9)</f>
        <v/>
      </c>
      <c r="K9" s="8">
        <f>AVERAGE('1940'!K9,'1941'!K9,'1942'!K9,'1943'!K9,'1944'!K9,'1945'!K9,'1946'!K9,'1947'!K9,'1948'!K9,'1949'!K9,'1950'!K9,'1951'!K9,'1952'!K9,'1953'!K9,'1954'!K9,'1955'!K9,'1956'!K9,'1957'!K9,'1958'!K9,'1959'!K9,'1960'!K9,'1961'!K9,'1962'!K9,'1963'!K9,'1964'!K9,'1965'!K9,'1966'!K9,'1967'!K9,'1968'!K9,'1969'!K9,'1970'!K9,'1971'!K9,'1972'!K9,'1973'!K9,'1974'!K9,'1975'!K9,'1976'!K9,'1977'!K9,'1978'!K9,'1979'!K9,'1980'!K9,'1981'!K9,'1982'!K9,'1983'!K9,'1984'!K9,'1985'!K9,'1986'!K9,'1987'!K9,'1988'!K9,'1989'!K9,'1990'!K9,'1991'!K9,'1992'!K9,'1993'!K9,'1994'!K9,'1995'!K9,'1996'!K9,'1997'!K9,'1998'!K9,'1999'!K9,'2000'!K9,'2001'!K9,'2002'!K9,'2003'!K9,'2004'!K9,'2005'!K9,'2006'!K9,'2007'!K9,'2008'!K9,'2009'!K9,'2010'!K9,'2011'!K9,'2012'!K9,'2013'!K9,'2014'!K9,'2015'!K9,'2016'!K9,'2017'!K9,'2018'!K9,'2019'!K9,'2020'!K9,'2021'!K9,'2022'!K9,'2023'!K9,'2024'!K9,'2025'!K9)</f>
        <v/>
      </c>
      <c r="L9" s="8">
        <f>AVERAGE('1940'!L9,'1941'!L9,'1942'!L9,'1943'!L9,'1944'!L9,'1945'!L9,'1946'!L9,'1947'!L9,'1948'!L9,'1949'!L9,'1950'!L9,'1951'!L9,'1952'!L9,'1953'!L9,'1954'!L9,'1955'!L9,'1956'!L9,'1957'!L9,'1958'!L9,'1959'!L9,'1960'!L9,'1961'!L9,'1962'!L9,'1963'!L9,'1964'!L9,'1965'!L9,'1966'!L9,'1967'!L9,'1968'!L9,'1969'!L9,'1970'!L9,'1971'!L9,'1972'!L9,'1973'!L9,'1974'!L9,'1975'!L9,'1976'!L9,'1977'!L9,'1978'!L9,'1979'!L9,'1980'!L9,'1981'!L9,'1982'!L9,'1983'!L9,'1984'!L9,'1985'!L9,'1986'!L9,'1987'!L9,'1988'!L9,'1989'!L9,'1990'!L9,'1991'!L9,'1992'!L9,'1993'!L9,'1994'!L9,'1995'!L9,'1996'!L9,'1997'!L9,'1998'!L9,'1999'!L9,'2000'!L9,'2001'!L9,'2002'!L9,'2003'!L9,'2004'!L9,'2005'!L9,'2006'!L9,'2007'!L9,'2008'!L9,'2009'!L9,'2010'!L9,'2011'!L9,'2012'!L9,'2013'!L9,'2014'!L9,'2015'!L9,'2016'!L9,'2017'!L9,'2018'!L9,'2019'!L9,'2020'!L9,'2021'!L9,'2022'!L9,'2023'!L9,'2024'!L9,'2025'!L9)</f>
        <v/>
      </c>
      <c r="M9" s="8">
        <f>AVERAGE('1940'!M9,'1941'!M9,'1942'!M9,'1943'!M9,'1944'!M9,'1945'!M9,'1946'!M9,'1947'!M9,'1948'!M9,'1949'!M9,'1950'!M9,'1951'!M9,'1952'!M9,'1953'!M9,'1954'!M9,'1955'!M9,'1956'!M9,'1957'!M9,'1958'!M9,'1959'!M9,'1960'!M9,'1961'!M9,'1962'!M9,'1963'!M9,'1964'!M9,'1965'!M9,'1966'!M9,'1967'!M9,'1968'!M9,'1969'!M9,'1970'!M9,'1971'!M9,'1972'!M9,'1973'!M9,'1974'!M9,'1975'!M9,'1976'!M9,'1977'!M9,'1978'!M9,'1979'!M9,'1980'!M9,'1981'!M9,'1982'!M9,'1983'!M9,'1984'!M9,'1985'!M9,'1986'!M9,'1987'!M9,'1988'!M9,'1989'!M9,'1990'!M9,'1991'!M9,'1992'!M9,'1993'!M9,'1994'!M9,'1995'!M9,'1996'!M9,'1997'!M9,'1998'!M9,'1999'!M9,'2000'!M9,'2001'!M9,'2002'!M9,'2003'!M9,'2004'!M9,'2005'!M9,'2006'!M9,'2007'!M9,'2008'!M9,'2009'!M9,'2010'!M9,'2011'!M9,'2012'!M9,'2013'!M9,'2014'!M9,'2015'!M9,'2016'!M9,'2017'!M9,'2018'!M9,'2019'!M9,'2020'!M9,'2021'!M9,'2022'!M9,'2023'!M9,'2024'!M9,'2025'!M9)</f>
        <v/>
      </c>
      <c r="N9" s="9">
        <f>MAX(B9:M9)</f>
        <v/>
      </c>
    </row>
    <row r="10">
      <c r="A10" s="7" t="inlineStr">
        <is>
          <t>Apsolutni minimum</t>
        </is>
      </c>
      <c r="B10" s="8">
        <f>AVERAGE('1940'!B10,'1941'!B10,'1942'!B10,'1943'!B10,'1944'!B10,'1945'!B10,'1946'!B10,'1947'!B10,'1948'!B10,'1949'!B10,'1950'!B10,'1951'!B10,'1952'!B10,'1953'!B10,'1954'!B10,'1955'!B10,'1956'!B10,'1957'!B10,'1958'!B10,'1959'!B10,'1960'!B10,'1961'!B10,'1962'!B10,'1963'!B10,'1964'!B10,'1965'!B10,'1966'!B10,'1967'!B10,'1968'!B10,'1969'!B10,'1970'!B10,'1971'!B10,'1972'!B10,'1973'!B10,'1974'!B10,'1975'!B10,'1976'!B10,'1977'!B10,'1978'!B10,'1979'!B10,'1980'!B10,'1981'!B10,'1982'!B10,'1983'!B10,'1984'!B10,'1985'!B10,'1986'!B10,'1987'!B10,'1988'!B10,'1989'!B10,'1990'!B10,'1991'!B10,'1992'!B10,'1993'!B10,'1994'!B10,'1995'!B10,'1996'!B10,'1997'!B10,'1998'!B10,'1999'!B10,'2000'!B10,'2001'!B10,'2002'!B10,'2003'!B10,'2004'!B10,'2005'!B10,'2006'!B10,'2007'!B10,'2008'!B10,'2009'!B10,'2010'!B10,'2011'!B10,'2012'!B10,'2013'!B10,'2014'!B10,'2015'!B10,'2016'!B10,'2017'!B10,'2018'!B10,'2019'!B10,'2020'!B10,'2021'!B10,'2022'!B10,'2023'!B10,'2024'!B10,'2025'!B10)</f>
        <v/>
      </c>
      <c r="C10" s="8">
        <f>AVERAGE('1940'!C10,'1941'!C10,'1942'!C10,'1943'!C10,'1944'!C10,'1945'!C10,'1946'!C10,'1947'!C10,'1948'!C10,'1949'!C10,'1950'!C10,'1951'!C10,'1952'!C10,'1953'!C10,'1954'!C10,'1955'!C10,'1956'!C10,'1957'!C10,'1958'!C10,'1959'!C10,'1960'!C10,'1961'!C10,'1962'!C10,'1963'!C10,'1964'!C10,'1965'!C10,'1966'!C10,'1967'!C10,'1968'!C10,'1969'!C10,'1970'!C10,'1971'!C10,'1972'!C10,'1973'!C10,'1974'!C10,'1975'!C10,'1976'!C10,'1977'!C10,'1978'!C10,'1979'!C10,'1980'!C10,'1981'!C10,'1982'!C10,'1983'!C10,'1984'!C10,'1985'!C10,'1986'!C10,'1987'!C10,'1988'!C10,'1989'!C10,'1990'!C10,'1991'!C10,'1992'!C10,'1993'!C10,'1994'!C10,'1995'!C10,'1996'!C10,'1997'!C10,'1998'!C10,'1999'!C10,'2000'!C10,'2001'!C10,'2002'!C10,'2003'!C10,'2004'!C10,'2005'!C10,'2006'!C10,'2007'!C10,'2008'!C10,'2009'!C10,'2010'!C10,'2011'!C10,'2012'!C10,'2013'!C10,'2014'!C10,'2015'!C10,'2016'!C10,'2017'!C10,'2018'!C10,'2019'!C10,'2020'!C10,'2021'!C10,'2022'!C10,'2023'!C10,'2024'!C10,'2025'!C10)</f>
        <v/>
      </c>
      <c r="D10" s="8">
        <f>AVERAGE('1940'!D10,'1941'!D10,'1942'!D10,'1943'!D10,'1944'!D10,'1945'!D10,'1946'!D10,'1947'!D10,'1948'!D10,'1949'!D10,'1950'!D10,'1951'!D10,'1952'!D10,'1953'!D10,'1954'!D10,'1955'!D10,'1956'!D10,'1957'!D10,'1958'!D10,'1959'!D10,'1960'!D10,'1961'!D10,'1962'!D10,'1963'!D10,'1964'!D10,'1965'!D10,'1966'!D10,'1967'!D10,'1968'!D10,'1969'!D10,'1970'!D10,'1971'!D10,'1972'!D10,'1973'!D10,'1974'!D10,'1975'!D10,'1976'!D10,'1977'!D10,'1978'!D10,'1979'!D10,'1980'!D10,'1981'!D10,'1982'!D10,'1983'!D10,'1984'!D10,'1985'!D10,'1986'!D10,'1987'!D10,'1988'!D10,'1989'!D10,'1990'!D10,'1991'!D10,'1992'!D10,'1993'!D10,'1994'!D10,'1995'!D10,'1996'!D10,'1997'!D10,'1998'!D10,'1999'!D10,'2000'!D10,'2001'!D10,'2002'!D10,'2003'!D10,'2004'!D10,'2005'!D10,'2006'!D10,'2007'!D10,'2008'!D10,'2009'!D10,'2010'!D10,'2011'!D10,'2012'!D10,'2013'!D10,'2014'!D10,'2015'!D10,'2016'!D10,'2017'!D10,'2018'!D10,'2019'!D10,'2020'!D10,'2021'!D10,'2022'!D10,'2023'!D10,'2024'!D10,'2025'!D10)</f>
        <v/>
      </c>
      <c r="E10" s="8">
        <f>AVERAGE('1940'!E10,'1941'!E10,'1942'!E10,'1943'!E10,'1944'!E10,'1945'!E10,'1946'!E10,'1947'!E10,'1948'!E10,'1949'!E10,'1950'!E10,'1951'!E10,'1952'!E10,'1953'!E10,'1954'!E10,'1955'!E10,'1956'!E10,'1957'!E10,'1958'!E10,'1959'!E10,'1960'!E10,'1961'!E10,'1962'!E10,'1963'!E10,'1964'!E10,'1965'!E10,'1966'!E10,'1967'!E10,'1968'!E10,'1969'!E10,'1970'!E10,'1971'!E10,'1972'!E10,'1973'!E10,'1974'!E10,'1975'!E10,'1976'!E10,'1977'!E10,'1978'!E10,'1979'!E10,'1980'!E10,'1981'!E10,'1982'!E10,'1983'!E10,'1984'!E10,'1985'!E10,'1986'!E10,'1987'!E10,'1988'!E10,'1989'!E10,'1990'!E10,'1991'!E10,'1992'!E10,'1993'!E10,'1994'!E10,'1995'!E10,'1996'!E10,'1997'!E10,'1998'!E10,'1999'!E10,'2000'!E10,'2001'!E10,'2002'!E10,'2003'!E10,'2004'!E10,'2005'!E10,'2006'!E10,'2007'!E10,'2008'!E10,'2009'!E10,'2010'!E10,'2011'!E10,'2012'!E10,'2013'!E10,'2014'!E10,'2015'!E10,'2016'!E10,'2017'!E10,'2018'!E10,'2019'!E10,'2020'!E10,'2021'!E10,'2022'!E10,'2023'!E10,'2024'!E10,'2025'!E10)</f>
        <v/>
      </c>
      <c r="F10" s="8">
        <f>AVERAGE('1940'!F10,'1941'!F10,'1942'!F10,'1943'!F10,'1944'!F10,'1945'!F10,'1946'!F10,'1947'!F10,'1948'!F10,'1949'!F10,'1950'!F10,'1951'!F10,'1952'!F10,'1953'!F10,'1954'!F10,'1955'!F10,'1956'!F10,'1957'!F10,'1958'!F10,'1959'!F10,'1960'!F10,'1961'!F10,'1962'!F10,'1963'!F10,'1964'!F10,'1965'!F10,'1966'!F10,'1967'!F10,'1968'!F10,'1969'!F10,'1970'!F10,'1971'!F10,'1972'!F10,'1973'!F10,'1974'!F10,'1975'!F10,'1976'!F10,'1977'!F10,'1978'!F10,'1979'!F10,'1980'!F10,'1981'!F10,'1982'!F10,'1983'!F10,'1984'!F10,'1985'!F10,'1986'!F10,'1987'!F10,'1988'!F10,'1989'!F10,'1990'!F10,'1991'!F10,'1992'!F10,'1993'!F10,'1994'!F10,'1995'!F10,'1996'!F10,'1997'!F10,'1998'!F10,'1999'!F10,'2000'!F10,'2001'!F10,'2002'!F10,'2003'!F10,'2004'!F10,'2005'!F10,'2006'!F10,'2007'!F10,'2008'!F10,'2009'!F10,'2010'!F10,'2011'!F10,'2012'!F10,'2013'!F10,'2014'!F10,'2015'!F10,'2016'!F10,'2017'!F10,'2018'!F10,'2019'!F10,'2020'!F10,'2021'!F10,'2022'!F10,'2023'!F10,'2024'!F10,'2025'!F10)</f>
        <v/>
      </c>
      <c r="G10" s="8">
        <f>AVERAGE('1940'!G10,'1941'!G10,'1942'!G10,'1943'!G10,'1944'!G10,'1945'!G10,'1946'!G10,'1947'!G10,'1948'!G10,'1949'!G10,'1950'!G10,'1951'!G10,'1952'!G10,'1953'!G10,'1954'!G10,'1955'!G10,'1956'!G10,'1957'!G10,'1958'!G10,'1959'!G10,'1960'!G10,'1961'!G10,'1962'!G10,'1963'!G10,'1964'!G10,'1965'!G10,'1966'!G10,'1967'!G10,'1968'!G10,'1969'!G10,'1970'!G10,'1971'!G10,'1972'!G10,'1973'!G10,'1974'!G10,'1975'!G10,'1976'!G10,'1977'!G10,'1978'!G10,'1979'!G10,'1980'!G10,'1981'!G10,'1982'!G10,'1983'!G10,'1984'!G10,'1985'!G10,'1986'!G10,'1987'!G10,'1988'!G10,'1989'!G10,'1990'!G10,'1991'!G10,'1992'!G10,'1993'!G10,'1994'!G10,'1995'!G10,'1996'!G10,'1997'!G10,'1998'!G10,'1999'!G10,'2000'!G10,'2001'!G10,'2002'!G10,'2003'!G10,'2004'!G10,'2005'!G10,'2006'!G10,'2007'!G10,'2008'!G10,'2009'!G10,'2010'!G10,'2011'!G10,'2012'!G10,'2013'!G10,'2014'!G10,'2015'!G10,'2016'!G10,'2017'!G10,'2018'!G10,'2019'!G10,'2020'!G10,'2021'!G10,'2022'!G10,'2023'!G10,'2024'!G10,'2025'!G10)</f>
        <v/>
      </c>
      <c r="H10" s="8">
        <f>AVERAGE('1940'!H10,'1941'!H10,'1942'!H10,'1943'!H10,'1944'!H10,'1945'!H10,'1946'!H10,'1947'!H10,'1948'!H10,'1949'!H10,'1950'!H10,'1951'!H10,'1952'!H10,'1953'!H10,'1954'!H10,'1955'!H10,'1956'!H10,'1957'!H10,'1958'!H10,'1959'!H10,'1960'!H10,'1961'!H10,'1962'!H10,'1963'!H10,'1964'!H10,'1965'!H10,'1966'!H10,'1967'!H10,'1968'!H10,'1969'!H10,'1970'!H10,'1971'!H10,'1972'!H10,'1973'!H10,'1974'!H10,'1975'!H10,'1976'!H10,'1977'!H10,'1978'!H10,'1979'!H10,'1980'!H10,'1981'!H10,'1982'!H10,'1983'!H10,'1984'!H10,'1985'!H10,'1986'!H10,'1987'!H10,'1988'!H10,'1989'!H10,'1990'!H10,'1991'!H10,'1992'!H10,'1993'!H10,'1994'!H10,'1995'!H10,'1996'!H10,'1997'!H10,'1998'!H10,'1999'!H10,'2000'!H10,'2001'!H10,'2002'!H10,'2003'!H10,'2004'!H10,'2005'!H10,'2006'!H10,'2007'!H10,'2008'!H10,'2009'!H10,'2010'!H10,'2011'!H10,'2012'!H10,'2013'!H10,'2014'!H10,'2015'!H10,'2016'!H10,'2017'!H10,'2018'!H10,'2019'!H10,'2020'!H10,'2021'!H10,'2022'!H10,'2023'!H10,'2024'!H10,'2025'!H10)</f>
        <v/>
      </c>
      <c r="I10" s="8">
        <f>AVERAGE('1940'!I10,'1941'!I10,'1942'!I10,'1943'!I10,'1944'!I10,'1945'!I10,'1946'!I10,'1947'!I10,'1948'!I10,'1949'!I10,'1950'!I10,'1951'!I10,'1952'!I10,'1953'!I10,'1954'!I10,'1955'!I10,'1956'!I10,'1957'!I10,'1958'!I10,'1959'!I10,'1960'!I10,'1961'!I10,'1962'!I10,'1963'!I10,'1964'!I10,'1965'!I10,'1966'!I10,'1967'!I10,'1968'!I10,'1969'!I10,'1970'!I10,'1971'!I10,'1972'!I10,'1973'!I10,'1974'!I10,'1975'!I10,'1976'!I10,'1977'!I10,'1978'!I10,'1979'!I10,'1980'!I10,'1981'!I10,'1982'!I10,'1983'!I10,'1984'!I10,'1985'!I10,'1986'!I10,'1987'!I10,'1988'!I10,'1989'!I10,'1990'!I10,'1991'!I10,'1992'!I10,'1993'!I10,'1994'!I10,'1995'!I10,'1996'!I10,'1997'!I10,'1998'!I10,'1999'!I10,'2000'!I10,'2001'!I10,'2002'!I10,'2003'!I10,'2004'!I10,'2005'!I10,'2006'!I10,'2007'!I10,'2008'!I10,'2009'!I10,'2010'!I10,'2011'!I10,'2012'!I10,'2013'!I10,'2014'!I10,'2015'!I10,'2016'!I10,'2017'!I10,'2018'!I10,'2019'!I10,'2020'!I10,'2021'!I10,'2022'!I10,'2023'!I10,'2024'!I10,'2025'!I10)</f>
        <v/>
      </c>
      <c r="J10" s="8">
        <f>AVERAGE('1940'!J10,'1941'!J10,'1942'!J10,'1943'!J10,'1944'!J10,'1945'!J10,'1946'!J10,'1947'!J10,'1948'!J10,'1949'!J10,'1950'!J10,'1951'!J10,'1952'!J10,'1953'!J10,'1954'!J10,'1955'!J10,'1956'!J10,'1957'!J10,'1958'!J10,'1959'!J10,'1960'!J10,'1961'!J10,'1962'!J10,'1963'!J10,'1964'!J10,'1965'!J10,'1966'!J10,'1967'!J10,'1968'!J10,'1969'!J10,'1970'!J10,'1971'!J10,'1972'!J10,'1973'!J10,'1974'!J10,'1975'!J10,'1976'!J10,'1977'!J10,'1978'!J10,'1979'!J10,'1980'!J10,'1981'!J10,'1982'!J10,'1983'!J10,'1984'!J10,'1985'!J10,'1986'!J10,'1987'!J10,'1988'!J10,'1989'!J10,'1990'!J10,'1991'!J10,'1992'!J10,'1993'!J10,'1994'!J10,'1995'!J10,'1996'!J10,'1997'!J10,'1998'!J10,'1999'!J10,'2000'!J10,'2001'!J10,'2002'!J10,'2003'!J10,'2004'!J10,'2005'!J10,'2006'!J10,'2007'!J10,'2008'!J10,'2009'!J10,'2010'!J10,'2011'!J10,'2012'!J10,'2013'!J10,'2014'!J10,'2015'!J10,'2016'!J10,'2017'!J10,'2018'!J10,'2019'!J10,'2020'!J10,'2021'!J10,'2022'!J10,'2023'!J10,'2024'!J10,'2025'!J10)</f>
        <v/>
      </c>
      <c r="K10" s="8">
        <f>AVERAGE('1940'!K10,'1941'!K10,'1942'!K10,'1943'!K10,'1944'!K10,'1945'!K10,'1946'!K10,'1947'!K10,'1948'!K10,'1949'!K10,'1950'!K10,'1951'!K10,'1952'!K10,'1953'!K10,'1954'!K10,'1955'!K10,'1956'!K10,'1957'!K10,'1958'!K10,'1959'!K10,'1960'!K10,'1961'!K10,'1962'!K10,'1963'!K10,'1964'!K10,'1965'!K10,'1966'!K10,'1967'!K10,'1968'!K10,'1969'!K10,'1970'!K10,'1971'!K10,'1972'!K10,'1973'!K10,'1974'!K10,'1975'!K10,'1976'!K10,'1977'!K10,'1978'!K10,'1979'!K10,'1980'!K10,'1981'!K10,'1982'!K10,'1983'!K10,'1984'!K10,'1985'!K10,'1986'!K10,'1987'!K10,'1988'!K10,'1989'!K10,'1990'!K10,'1991'!K10,'1992'!K10,'1993'!K10,'1994'!K10,'1995'!K10,'1996'!K10,'1997'!K10,'1998'!K10,'1999'!K10,'2000'!K10,'2001'!K10,'2002'!K10,'2003'!K10,'2004'!K10,'2005'!K10,'2006'!K10,'2007'!K10,'2008'!K10,'2009'!K10,'2010'!K10,'2011'!K10,'2012'!K10,'2013'!K10,'2014'!K10,'2015'!K10,'2016'!K10,'2017'!K10,'2018'!K10,'2019'!K10,'2020'!K10,'2021'!K10,'2022'!K10,'2023'!K10,'2024'!K10,'2025'!K10)</f>
        <v/>
      </c>
      <c r="L10" s="8">
        <f>AVERAGE('1940'!L10,'1941'!L10,'1942'!L10,'1943'!L10,'1944'!L10,'1945'!L10,'1946'!L10,'1947'!L10,'1948'!L10,'1949'!L10,'1950'!L10,'1951'!L10,'1952'!L10,'1953'!L10,'1954'!L10,'1955'!L10,'1956'!L10,'1957'!L10,'1958'!L10,'1959'!L10,'1960'!L10,'1961'!L10,'1962'!L10,'1963'!L10,'1964'!L10,'1965'!L10,'1966'!L10,'1967'!L10,'1968'!L10,'1969'!L10,'1970'!L10,'1971'!L10,'1972'!L10,'1973'!L10,'1974'!L10,'1975'!L10,'1976'!L10,'1977'!L10,'1978'!L10,'1979'!L10,'1980'!L10,'1981'!L10,'1982'!L10,'1983'!L10,'1984'!L10,'1985'!L10,'1986'!L10,'1987'!L10,'1988'!L10,'1989'!L10,'1990'!L10,'1991'!L10,'1992'!L10,'1993'!L10,'1994'!L10,'1995'!L10,'1996'!L10,'1997'!L10,'1998'!L10,'1999'!L10,'2000'!L10,'2001'!L10,'2002'!L10,'2003'!L10,'2004'!L10,'2005'!L10,'2006'!L10,'2007'!L10,'2008'!L10,'2009'!L10,'2010'!L10,'2011'!L10,'2012'!L10,'2013'!L10,'2014'!L10,'2015'!L10,'2016'!L10,'2017'!L10,'2018'!L10,'2019'!L10,'2020'!L10,'2021'!L10,'2022'!L10,'2023'!L10,'2024'!L10,'2025'!L10)</f>
        <v/>
      </c>
      <c r="M10" s="8">
        <f>AVERAGE('1940'!M10,'1941'!M10,'1942'!M10,'1943'!M10,'1944'!M10,'1945'!M10,'1946'!M10,'1947'!M10,'1948'!M10,'1949'!M10,'1950'!M10,'1951'!M10,'1952'!M10,'1953'!M10,'1954'!M10,'1955'!M10,'1956'!M10,'1957'!M10,'1958'!M10,'1959'!M10,'1960'!M10,'1961'!M10,'1962'!M10,'1963'!M10,'1964'!M10,'1965'!M10,'1966'!M10,'1967'!M10,'1968'!M10,'1969'!M10,'1970'!M10,'1971'!M10,'1972'!M10,'1973'!M10,'1974'!M10,'1975'!M10,'1976'!M10,'1977'!M10,'1978'!M10,'1979'!M10,'1980'!M10,'1981'!M10,'1982'!M10,'1983'!M10,'1984'!M10,'1985'!M10,'1986'!M10,'1987'!M10,'1988'!M10,'1989'!M10,'1990'!M10,'1991'!M10,'1992'!M10,'1993'!M10,'1994'!M10,'1995'!M10,'1996'!M10,'1997'!M10,'1998'!M10,'1999'!M10,'2000'!M10,'2001'!M10,'2002'!M10,'2003'!M10,'2004'!M10,'2005'!M10,'2006'!M10,'2007'!M10,'2008'!M10,'2009'!M10,'2010'!M10,'2011'!M10,'2012'!M10,'2013'!M10,'2014'!M10,'2015'!M10,'2016'!M10,'2017'!M10,'2018'!M10,'2019'!M10,'2020'!M10,'2021'!M10,'2022'!M10,'2023'!M10,'2024'!M10,'2025'!M10)</f>
        <v/>
      </c>
      <c r="N10" s="9">
        <f>MIN(B10:M10)</f>
        <v/>
      </c>
    </row>
    <row r="11">
      <c r="A11" s="7" t="inlineStr">
        <is>
          <t>Sr. br. mraznih dana</t>
        </is>
      </c>
      <c r="B11" s="8">
        <f>AVERAGE('1940'!B11,'1941'!B11,'1942'!B11,'1943'!B11,'1944'!B11,'1945'!B11,'1946'!B11,'1947'!B11,'1948'!B11,'1949'!B11,'1950'!B11,'1951'!B11,'1952'!B11,'1953'!B11,'1954'!B11,'1955'!B11,'1956'!B11,'1957'!B11,'1958'!B11,'1959'!B11,'1960'!B11,'1961'!B11,'1962'!B11,'1963'!B11,'1964'!B11,'1965'!B11,'1966'!B11,'1967'!B11,'1968'!B11,'1969'!B11,'1970'!B11,'1971'!B11,'1972'!B11,'1973'!B11,'1974'!B11,'1975'!B11,'1976'!B11,'1977'!B11,'1978'!B11,'1979'!B11,'1980'!B11,'1981'!B11,'1982'!B11,'1983'!B11,'1984'!B11,'1985'!B11,'1986'!B11,'1987'!B11,'1988'!B11,'1989'!B11,'1990'!B11,'1991'!B11,'1992'!B11,'1993'!B11,'1994'!B11,'1995'!B11,'1996'!B11,'1997'!B11,'1998'!B11,'1999'!B11,'2000'!B11,'2001'!B11,'2002'!B11,'2003'!B11,'2004'!B11,'2005'!B11,'2006'!B11,'2007'!B11,'2008'!B11,'2009'!B11,'2010'!B11,'2011'!B11,'2012'!B11,'2013'!B11,'2014'!B11,'2015'!B11,'2016'!B11,'2017'!B11,'2018'!B11,'2019'!B11,'2020'!B11,'2021'!B11,'2022'!B11,'2023'!B11,'2024'!B11,'2025'!B11)</f>
        <v/>
      </c>
      <c r="C11" s="8">
        <f>AVERAGE('1940'!C11,'1941'!C11,'1942'!C11,'1943'!C11,'1944'!C11,'1945'!C11,'1946'!C11,'1947'!C11,'1948'!C11,'1949'!C11,'1950'!C11,'1951'!C11,'1952'!C11,'1953'!C11,'1954'!C11,'1955'!C11,'1956'!C11,'1957'!C11,'1958'!C11,'1959'!C11,'1960'!C11,'1961'!C11,'1962'!C11,'1963'!C11,'1964'!C11,'1965'!C11,'1966'!C11,'1967'!C11,'1968'!C11,'1969'!C11,'1970'!C11,'1971'!C11,'1972'!C11,'1973'!C11,'1974'!C11,'1975'!C11,'1976'!C11,'1977'!C11,'1978'!C11,'1979'!C11,'1980'!C11,'1981'!C11,'1982'!C11,'1983'!C11,'1984'!C11,'1985'!C11,'1986'!C11,'1987'!C11,'1988'!C11,'1989'!C11,'1990'!C11,'1991'!C11,'1992'!C11,'1993'!C11,'1994'!C11,'1995'!C11,'1996'!C11,'1997'!C11,'1998'!C11,'1999'!C11,'2000'!C11,'2001'!C11,'2002'!C11,'2003'!C11,'2004'!C11,'2005'!C11,'2006'!C11,'2007'!C11,'2008'!C11,'2009'!C11,'2010'!C11,'2011'!C11,'2012'!C11,'2013'!C11,'2014'!C11,'2015'!C11,'2016'!C11,'2017'!C11,'2018'!C11,'2019'!C11,'2020'!C11,'2021'!C11,'2022'!C11,'2023'!C11,'2024'!C11,'2025'!C11)</f>
        <v/>
      </c>
      <c r="D11" s="8">
        <f>AVERAGE('1940'!D11,'1941'!D11,'1942'!D11,'1943'!D11,'1944'!D11,'1945'!D11,'1946'!D11,'1947'!D11,'1948'!D11,'1949'!D11,'1950'!D11,'1951'!D11,'1952'!D11,'1953'!D11,'1954'!D11,'1955'!D11,'1956'!D11,'1957'!D11,'1958'!D11,'1959'!D11,'1960'!D11,'1961'!D11,'1962'!D11,'1963'!D11,'1964'!D11,'1965'!D11,'1966'!D11,'1967'!D11,'1968'!D11,'1969'!D11,'1970'!D11,'1971'!D11,'1972'!D11,'1973'!D11,'1974'!D11,'1975'!D11,'1976'!D11,'1977'!D11,'1978'!D11,'1979'!D11,'1980'!D11,'1981'!D11,'1982'!D11,'1983'!D11,'1984'!D11,'1985'!D11,'1986'!D11,'1987'!D11,'1988'!D11,'1989'!D11,'1990'!D11,'1991'!D11,'1992'!D11,'1993'!D11,'1994'!D11,'1995'!D11,'1996'!D11,'1997'!D11,'1998'!D11,'1999'!D11,'2000'!D11,'2001'!D11,'2002'!D11,'2003'!D11,'2004'!D11,'2005'!D11,'2006'!D11,'2007'!D11,'2008'!D11,'2009'!D11,'2010'!D11,'2011'!D11,'2012'!D11,'2013'!D11,'2014'!D11,'2015'!D11,'2016'!D11,'2017'!D11,'2018'!D11,'2019'!D11,'2020'!D11,'2021'!D11,'2022'!D11,'2023'!D11,'2024'!D11,'2025'!D11)</f>
        <v/>
      </c>
      <c r="E11" s="8">
        <f>AVERAGE('1940'!E11,'1941'!E11,'1942'!E11,'1943'!E11,'1944'!E11,'1945'!E11,'1946'!E11,'1947'!E11,'1948'!E11,'1949'!E11,'1950'!E11,'1951'!E11,'1952'!E11,'1953'!E11,'1954'!E11,'1955'!E11,'1956'!E11,'1957'!E11,'1958'!E11,'1959'!E11,'1960'!E11,'1961'!E11,'1962'!E11,'1963'!E11,'1964'!E11,'1965'!E11,'1966'!E11,'1967'!E11,'1968'!E11,'1969'!E11,'1970'!E11,'1971'!E11,'1972'!E11,'1973'!E11,'1974'!E11,'1975'!E11,'1976'!E11,'1977'!E11,'1978'!E11,'1979'!E11,'1980'!E11,'1981'!E11,'1982'!E11,'1983'!E11,'1984'!E11,'1985'!E11,'1986'!E11,'1987'!E11,'1988'!E11,'1989'!E11,'1990'!E11,'1991'!E11,'1992'!E11,'1993'!E11,'1994'!E11,'1995'!E11,'1996'!E11,'1997'!E11,'1998'!E11,'1999'!E11,'2000'!E11,'2001'!E11,'2002'!E11,'2003'!E11,'2004'!E11,'2005'!E11,'2006'!E11,'2007'!E11,'2008'!E11,'2009'!E11,'2010'!E11,'2011'!E11,'2012'!E11,'2013'!E11,'2014'!E11,'2015'!E11,'2016'!E11,'2017'!E11,'2018'!E11,'2019'!E11,'2020'!E11,'2021'!E11,'2022'!E11,'2023'!E11,'2024'!E11,'2025'!E11)</f>
        <v/>
      </c>
      <c r="F11" s="8">
        <f>AVERAGE('1940'!F11,'1941'!F11,'1942'!F11,'1943'!F11,'1944'!F11,'1945'!F11,'1946'!F11,'1947'!F11,'1948'!F11,'1949'!F11,'1950'!F11,'1951'!F11,'1952'!F11,'1953'!F11,'1954'!F11,'1955'!F11,'1956'!F11,'1957'!F11,'1958'!F11,'1959'!F11,'1960'!F11,'1961'!F11,'1962'!F11,'1963'!F11,'1964'!F11,'1965'!F11,'1966'!F11,'1967'!F11,'1968'!F11,'1969'!F11,'1970'!F11,'1971'!F11,'1972'!F11,'1973'!F11,'1974'!F11,'1975'!F11,'1976'!F11,'1977'!F11,'1978'!F11,'1979'!F11,'1980'!F11,'1981'!F11,'1982'!F11,'1983'!F11,'1984'!F11,'1985'!F11,'1986'!F11,'1987'!F11,'1988'!F11,'1989'!F11,'1990'!F11,'1991'!F11,'1992'!F11,'1993'!F11,'1994'!F11,'1995'!F11,'1996'!F11,'1997'!F11,'1998'!F11,'1999'!F11,'2000'!F11,'2001'!F11,'2002'!F11,'2003'!F11,'2004'!F11,'2005'!F11,'2006'!F11,'2007'!F11,'2008'!F11,'2009'!F11,'2010'!F11,'2011'!F11,'2012'!F11,'2013'!F11,'2014'!F11,'2015'!F11,'2016'!F11,'2017'!F11,'2018'!F11,'2019'!F11,'2020'!F11,'2021'!F11,'2022'!F11,'2023'!F11,'2024'!F11,'2025'!F11)</f>
        <v/>
      </c>
      <c r="G11" s="8">
        <f>AVERAGE('1940'!G11,'1941'!G11,'1942'!G11,'1943'!G11,'1944'!G11,'1945'!G11,'1946'!G11,'1947'!G11,'1948'!G11,'1949'!G11,'1950'!G11,'1951'!G11,'1952'!G11,'1953'!G11,'1954'!G11,'1955'!G11,'1956'!G11,'1957'!G11,'1958'!G11,'1959'!G11,'1960'!G11,'1961'!G11,'1962'!G11,'1963'!G11,'1964'!G11,'1965'!G11,'1966'!G11,'1967'!G11,'1968'!G11,'1969'!G11,'1970'!G11,'1971'!G11,'1972'!G11,'1973'!G11,'1974'!G11,'1975'!G11,'1976'!G11,'1977'!G11,'1978'!G11,'1979'!G11,'1980'!G11,'1981'!G11,'1982'!G11,'1983'!G11,'1984'!G11,'1985'!G11,'1986'!G11,'1987'!G11,'1988'!G11,'1989'!G11,'1990'!G11,'1991'!G11,'1992'!G11,'1993'!G11,'1994'!G11,'1995'!G11,'1996'!G11,'1997'!G11,'1998'!G11,'1999'!G11,'2000'!G11,'2001'!G11,'2002'!G11,'2003'!G11,'2004'!G11,'2005'!G11,'2006'!G11,'2007'!G11,'2008'!G11,'2009'!G11,'2010'!G11,'2011'!G11,'2012'!G11,'2013'!G11,'2014'!G11,'2015'!G11,'2016'!G11,'2017'!G11,'2018'!G11,'2019'!G11,'2020'!G11,'2021'!G11,'2022'!G11,'2023'!G11,'2024'!G11,'2025'!G11)</f>
        <v/>
      </c>
      <c r="H11" s="8">
        <f>AVERAGE('1940'!H11,'1941'!H11,'1942'!H11,'1943'!H11,'1944'!H11,'1945'!H11,'1946'!H11,'1947'!H11,'1948'!H11,'1949'!H11,'1950'!H11,'1951'!H11,'1952'!H11,'1953'!H11,'1954'!H11,'1955'!H11,'1956'!H11,'1957'!H11,'1958'!H11,'1959'!H11,'1960'!H11,'1961'!H11,'1962'!H11,'1963'!H11,'1964'!H11,'1965'!H11,'1966'!H11,'1967'!H11,'1968'!H11,'1969'!H11,'1970'!H11,'1971'!H11,'1972'!H11,'1973'!H11,'1974'!H11,'1975'!H11,'1976'!H11,'1977'!H11,'1978'!H11,'1979'!H11,'1980'!H11,'1981'!H11,'1982'!H11,'1983'!H11,'1984'!H11,'1985'!H11,'1986'!H11,'1987'!H11,'1988'!H11,'1989'!H11,'1990'!H11,'1991'!H11,'1992'!H11,'1993'!H11,'1994'!H11,'1995'!H11,'1996'!H11,'1997'!H11,'1998'!H11,'1999'!H11,'2000'!H11,'2001'!H11,'2002'!H11,'2003'!H11,'2004'!H11,'2005'!H11,'2006'!H11,'2007'!H11,'2008'!H11,'2009'!H11,'2010'!H11,'2011'!H11,'2012'!H11,'2013'!H11,'2014'!H11,'2015'!H11,'2016'!H11,'2017'!H11,'2018'!H11,'2019'!H11,'2020'!H11,'2021'!H11,'2022'!H11,'2023'!H11,'2024'!H11,'2025'!H11)</f>
        <v/>
      </c>
      <c r="I11" s="8">
        <f>AVERAGE('1940'!I11,'1941'!I11,'1942'!I11,'1943'!I11,'1944'!I11,'1945'!I11,'1946'!I11,'1947'!I11,'1948'!I11,'1949'!I11,'1950'!I11,'1951'!I11,'1952'!I11,'1953'!I11,'1954'!I11,'1955'!I11,'1956'!I11,'1957'!I11,'1958'!I11,'1959'!I11,'1960'!I11,'1961'!I11,'1962'!I11,'1963'!I11,'1964'!I11,'1965'!I11,'1966'!I11,'1967'!I11,'1968'!I11,'1969'!I11,'1970'!I11,'1971'!I11,'1972'!I11,'1973'!I11,'1974'!I11,'1975'!I11,'1976'!I11,'1977'!I11,'1978'!I11,'1979'!I11,'1980'!I11,'1981'!I11,'1982'!I11,'1983'!I11,'1984'!I11,'1985'!I11,'1986'!I11,'1987'!I11,'1988'!I11,'1989'!I11,'1990'!I11,'1991'!I11,'1992'!I11,'1993'!I11,'1994'!I11,'1995'!I11,'1996'!I11,'1997'!I11,'1998'!I11,'1999'!I11,'2000'!I11,'2001'!I11,'2002'!I11,'2003'!I11,'2004'!I11,'2005'!I11,'2006'!I11,'2007'!I11,'2008'!I11,'2009'!I11,'2010'!I11,'2011'!I11,'2012'!I11,'2013'!I11,'2014'!I11,'2015'!I11,'2016'!I11,'2017'!I11,'2018'!I11,'2019'!I11,'2020'!I11,'2021'!I11,'2022'!I11,'2023'!I11,'2024'!I11,'2025'!I11)</f>
        <v/>
      </c>
      <c r="J11" s="8">
        <f>AVERAGE('1940'!J11,'1941'!J11,'1942'!J11,'1943'!J11,'1944'!J11,'1945'!J11,'1946'!J11,'1947'!J11,'1948'!J11,'1949'!J11,'1950'!J11,'1951'!J11,'1952'!J11,'1953'!J11,'1954'!J11,'1955'!J11,'1956'!J11,'1957'!J11,'1958'!J11,'1959'!J11,'1960'!J11,'1961'!J11,'1962'!J11,'1963'!J11,'1964'!J11,'1965'!J11,'1966'!J11,'1967'!J11,'1968'!J11,'1969'!J11,'1970'!J11,'1971'!J11,'1972'!J11,'1973'!J11,'1974'!J11,'1975'!J11,'1976'!J11,'1977'!J11,'1978'!J11,'1979'!J11,'1980'!J11,'1981'!J11,'1982'!J11,'1983'!J11,'1984'!J11,'1985'!J11,'1986'!J11,'1987'!J11,'1988'!J11,'1989'!J11,'1990'!J11,'1991'!J11,'1992'!J11,'1993'!J11,'1994'!J11,'1995'!J11,'1996'!J11,'1997'!J11,'1998'!J11,'1999'!J11,'2000'!J11,'2001'!J11,'2002'!J11,'2003'!J11,'2004'!J11,'2005'!J11,'2006'!J11,'2007'!J11,'2008'!J11,'2009'!J11,'2010'!J11,'2011'!J11,'2012'!J11,'2013'!J11,'2014'!J11,'2015'!J11,'2016'!J11,'2017'!J11,'2018'!J11,'2019'!J11,'2020'!J11,'2021'!J11,'2022'!J11,'2023'!J11,'2024'!J11,'2025'!J11)</f>
        <v/>
      </c>
      <c r="K11" s="8">
        <f>AVERAGE('1940'!K11,'1941'!K11,'1942'!K11,'1943'!K11,'1944'!K11,'1945'!K11,'1946'!K11,'1947'!K11,'1948'!K11,'1949'!K11,'1950'!K11,'1951'!K11,'1952'!K11,'1953'!K11,'1954'!K11,'1955'!K11,'1956'!K11,'1957'!K11,'1958'!K11,'1959'!K11,'1960'!K11,'1961'!K11,'1962'!K11,'1963'!K11,'1964'!K11,'1965'!K11,'1966'!K11,'1967'!K11,'1968'!K11,'1969'!K11,'1970'!K11,'1971'!K11,'1972'!K11,'1973'!K11,'1974'!K11,'1975'!K11,'1976'!K11,'1977'!K11,'1978'!K11,'1979'!K11,'1980'!K11,'1981'!K11,'1982'!K11,'1983'!K11,'1984'!K11,'1985'!K11,'1986'!K11,'1987'!K11,'1988'!K11,'1989'!K11,'1990'!K11,'1991'!K11,'1992'!K11,'1993'!K11,'1994'!K11,'1995'!K11,'1996'!K11,'1997'!K11,'1998'!K11,'1999'!K11,'2000'!K11,'2001'!K11,'2002'!K11,'2003'!K11,'2004'!K11,'2005'!K11,'2006'!K11,'2007'!K11,'2008'!K11,'2009'!K11,'2010'!K11,'2011'!K11,'2012'!K11,'2013'!K11,'2014'!K11,'2015'!K11,'2016'!K11,'2017'!K11,'2018'!K11,'2019'!K11,'2020'!K11,'2021'!K11,'2022'!K11,'2023'!K11,'2024'!K11,'2025'!K11)</f>
        <v/>
      </c>
      <c r="L11" s="8">
        <f>AVERAGE('1940'!L11,'1941'!L11,'1942'!L11,'1943'!L11,'1944'!L11,'1945'!L11,'1946'!L11,'1947'!L11,'1948'!L11,'1949'!L11,'1950'!L11,'1951'!L11,'1952'!L11,'1953'!L11,'1954'!L11,'1955'!L11,'1956'!L11,'1957'!L11,'1958'!L11,'1959'!L11,'1960'!L11,'1961'!L11,'1962'!L11,'1963'!L11,'1964'!L11,'1965'!L11,'1966'!L11,'1967'!L11,'1968'!L11,'1969'!L11,'1970'!L11,'1971'!L11,'1972'!L11,'1973'!L11,'1974'!L11,'1975'!L11,'1976'!L11,'1977'!L11,'1978'!L11,'1979'!L11,'1980'!L11,'1981'!L11,'1982'!L11,'1983'!L11,'1984'!L11,'1985'!L11,'1986'!L11,'1987'!L11,'1988'!L11,'1989'!L11,'1990'!L11,'1991'!L11,'1992'!L11,'1993'!L11,'1994'!L11,'1995'!L11,'1996'!L11,'1997'!L11,'1998'!L11,'1999'!L11,'2000'!L11,'2001'!L11,'2002'!L11,'2003'!L11,'2004'!L11,'2005'!L11,'2006'!L11,'2007'!L11,'2008'!L11,'2009'!L11,'2010'!L11,'2011'!L11,'2012'!L11,'2013'!L11,'2014'!L11,'2015'!L11,'2016'!L11,'2017'!L11,'2018'!L11,'2019'!L11,'2020'!L11,'2021'!L11,'2022'!L11,'2023'!L11,'2024'!L11,'2025'!L11)</f>
        <v/>
      </c>
      <c r="M11" s="8">
        <f>AVERAGE('1940'!M11,'1941'!M11,'1942'!M11,'1943'!M11,'1944'!M11,'1945'!M11,'1946'!M11,'1947'!M11,'1948'!M11,'1949'!M11,'1950'!M11,'1951'!M11,'1952'!M11,'1953'!M11,'1954'!M11,'1955'!M11,'1956'!M11,'1957'!M11,'1958'!M11,'1959'!M11,'1960'!M11,'1961'!M11,'1962'!M11,'1963'!M11,'1964'!M11,'1965'!M11,'1966'!M11,'1967'!M11,'1968'!M11,'1969'!M11,'1970'!M11,'1971'!M11,'1972'!M11,'1973'!M11,'1974'!M11,'1975'!M11,'1976'!M11,'1977'!M11,'1978'!M11,'1979'!M11,'1980'!M11,'1981'!M11,'1982'!M11,'1983'!M11,'1984'!M11,'1985'!M11,'1986'!M11,'1987'!M11,'1988'!M11,'1989'!M11,'1990'!M11,'1991'!M11,'1992'!M11,'1993'!M11,'1994'!M11,'1995'!M11,'1996'!M11,'1997'!M11,'1998'!M11,'1999'!M11,'2000'!M11,'2001'!M11,'2002'!M11,'2003'!M11,'2004'!M11,'2005'!M11,'2006'!M11,'2007'!M11,'2008'!M11,'2009'!M11,'2010'!M11,'2011'!M11,'2012'!M11,'2013'!M11,'2014'!M11,'2015'!M11,'2016'!M11,'2017'!M11,'2018'!M11,'2019'!M11,'2020'!M11,'2021'!M11,'2022'!M11,'2023'!M11,'2024'!M11,'2025'!M11)</f>
        <v/>
      </c>
      <c r="N11" s="9">
        <f>SUM(B11:M11)</f>
        <v/>
      </c>
    </row>
    <row r="12">
      <c r="A12" s="7" t="inlineStr">
        <is>
          <t>Sr. br. tropskih dana</t>
        </is>
      </c>
      <c r="B12" s="8">
        <f>AVERAGE('1940'!B12,'1941'!B12,'1942'!B12,'1943'!B12,'1944'!B12,'1945'!B12,'1946'!B12,'1947'!B12,'1948'!B12,'1949'!B12,'1950'!B12,'1951'!B12,'1952'!B12,'1953'!B12,'1954'!B12,'1955'!B12,'1956'!B12,'1957'!B12,'1958'!B12,'1959'!B12,'1960'!B12,'1961'!B12,'1962'!B12,'1963'!B12,'1964'!B12,'1965'!B12,'1966'!B12,'1967'!B12,'1968'!B12,'1969'!B12,'1970'!B12,'1971'!B12,'1972'!B12,'1973'!B12,'1974'!B12,'1975'!B12,'1976'!B12,'1977'!B12,'1978'!B12,'1979'!B12,'1980'!B12,'1981'!B12,'1982'!B12,'1983'!B12,'1984'!B12,'1985'!B12,'1986'!B12,'1987'!B12,'1988'!B12,'1989'!B12,'1990'!B12,'1991'!B12,'1992'!B12,'1993'!B12,'1994'!B12,'1995'!B12,'1996'!B12,'1997'!B12,'1998'!B12,'1999'!B12,'2000'!B12,'2001'!B12,'2002'!B12,'2003'!B12,'2004'!B12,'2005'!B12,'2006'!B12,'2007'!B12,'2008'!B12,'2009'!B12,'2010'!B12,'2011'!B12,'2012'!B12,'2013'!B12,'2014'!B12,'2015'!B12,'2016'!B12,'2017'!B12,'2018'!B12,'2019'!B12,'2020'!B12,'2021'!B12,'2022'!B12,'2023'!B12,'2024'!B12,'2025'!B12)</f>
        <v/>
      </c>
      <c r="C12" s="8">
        <f>AVERAGE('1940'!C12,'1941'!C12,'1942'!C12,'1943'!C12,'1944'!C12,'1945'!C12,'1946'!C12,'1947'!C12,'1948'!C12,'1949'!C12,'1950'!C12,'1951'!C12,'1952'!C12,'1953'!C12,'1954'!C12,'1955'!C12,'1956'!C12,'1957'!C12,'1958'!C12,'1959'!C12,'1960'!C12,'1961'!C12,'1962'!C12,'1963'!C12,'1964'!C12,'1965'!C12,'1966'!C12,'1967'!C12,'1968'!C12,'1969'!C12,'1970'!C12,'1971'!C12,'1972'!C12,'1973'!C12,'1974'!C12,'1975'!C12,'1976'!C12,'1977'!C12,'1978'!C12,'1979'!C12,'1980'!C12,'1981'!C12,'1982'!C12,'1983'!C12,'1984'!C12,'1985'!C12,'1986'!C12,'1987'!C12,'1988'!C12,'1989'!C12,'1990'!C12,'1991'!C12,'1992'!C12,'1993'!C12,'1994'!C12,'1995'!C12,'1996'!C12,'1997'!C12,'1998'!C12,'1999'!C12,'2000'!C12,'2001'!C12,'2002'!C12,'2003'!C12,'2004'!C12,'2005'!C12,'2006'!C12,'2007'!C12,'2008'!C12,'2009'!C12,'2010'!C12,'2011'!C12,'2012'!C12,'2013'!C12,'2014'!C12,'2015'!C12,'2016'!C12,'2017'!C12,'2018'!C12,'2019'!C12,'2020'!C12,'2021'!C12,'2022'!C12,'2023'!C12,'2024'!C12,'2025'!C12)</f>
        <v/>
      </c>
      <c r="D12" s="8">
        <f>AVERAGE('1940'!D12,'1941'!D12,'1942'!D12,'1943'!D12,'1944'!D12,'1945'!D12,'1946'!D12,'1947'!D12,'1948'!D12,'1949'!D12,'1950'!D12,'1951'!D12,'1952'!D12,'1953'!D12,'1954'!D12,'1955'!D12,'1956'!D12,'1957'!D12,'1958'!D12,'1959'!D12,'1960'!D12,'1961'!D12,'1962'!D12,'1963'!D12,'1964'!D12,'1965'!D12,'1966'!D12,'1967'!D12,'1968'!D12,'1969'!D12,'1970'!D12,'1971'!D12,'1972'!D12,'1973'!D12,'1974'!D12,'1975'!D12,'1976'!D12,'1977'!D12,'1978'!D12,'1979'!D12,'1980'!D12,'1981'!D12,'1982'!D12,'1983'!D12,'1984'!D12,'1985'!D12,'1986'!D12,'1987'!D12,'1988'!D12,'1989'!D12,'1990'!D12,'1991'!D12,'1992'!D12,'1993'!D12,'1994'!D12,'1995'!D12,'1996'!D12,'1997'!D12,'1998'!D12,'1999'!D12,'2000'!D12,'2001'!D12,'2002'!D12,'2003'!D12,'2004'!D12,'2005'!D12,'2006'!D12,'2007'!D12,'2008'!D12,'2009'!D12,'2010'!D12,'2011'!D12,'2012'!D12,'2013'!D12,'2014'!D12,'2015'!D12,'2016'!D12,'2017'!D12,'2018'!D12,'2019'!D12,'2020'!D12,'2021'!D12,'2022'!D12,'2023'!D12,'2024'!D12,'2025'!D12)</f>
        <v/>
      </c>
      <c r="E12" s="8">
        <f>AVERAGE('1940'!E12,'1941'!E12,'1942'!E12,'1943'!E12,'1944'!E12,'1945'!E12,'1946'!E12,'1947'!E12,'1948'!E12,'1949'!E12,'1950'!E12,'1951'!E12,'1952'!E12,'1953'!E12,'1954'!E12,'1955'!E12,'1956'!E12,'1957'!E12,'1958'!E12,'1959'!E12,'1960'!E12,'1961'!E12,'1962'!E12,'1963'!E12,'1964'!E12,'1965'!E12,'1966'!E12,'1967'!E12,'1968'!E12,'1969'!E12,'1970'!E12,'1971'!E12,'1972'!E12,'1973'!E12,'1974'!E12,'1975'!E12,'1976'!E12,'1977'!E12,'1978'!E12,'1979'!E12,'1980'!E12,'1981'!E12,'1982'!E12,'1983'!E12,'1984'!E12,'1985'!E12,'1986'!E12,'1987'!E12,'1988'!E12,'1989'!E12,'1990'!E12,'1991'!E12,'1992'!E12,'1993'!E12,'1994'!E12,'1995'!E12,'1996'!E12,'1997'!E12,'1998'!E12,'1999'!E12,'2000'!E12,'2001'!E12,'2002'!E12,'2003'!E12,'2004'!E12,'2005'!E12,'2006'!E12,'2007'!E12,'2008'!E12,'2009'!E12,'2010'!E12,'2011'!E12,'2012'!E12,'2013'!E12,'2014'!E12,'2015'!E12,'2016'!E12,'2017'!E12,'2018'!E12,'2019'!E12,'2020'!E12,'2021'!E12,'2022'!E12,'2023'!E12,'2024'!E12,'2025'!E12)</f>
        <v/>
      </c>
      <c r="F12" s="8">
        <f>AVERAGE('1940'!F12,'1941'!F12,'1942'!F12,'1943'!F12,'1944'!F12,'1945'!F12,'1946'!F12,'1947'!F12,'1948'!F12,'1949'!F12,'1950'!F12,'1951'!F12,'1952'!F12,'1953'!F12,'1954'!F12,'1955'!F12,'1956'!F12,'1957'!F12,'1958'!F12,'1959'!F12,'1960'!F12,'1961'!F12,'1962'!F12,'1963'!F12,'1964'!F12,'1965'!F12,'1966'!F12,'1967'!F12,'1968'!F12,'1969'!F12,'1970'!F12,'1971'!F12,'1972'!F12,'1973'!F12,'1974'!F12,'1975'!F12,'1976'!F12,'1977'!F12,'1978'!F12,'1979'!F12,'1980'!F12,'1981'!F12,'1982'!F12,'1983'!F12,'1984'!F12,'1985'!F12,'1986'!F12,'1987'!F12,'1988'!F12,'1989'!F12,'1990'!F12,'1991'!F12,'1992'!F12,'1993'!F12,'1994'!F12,'1995'!F12,'1996'!F12,'1997'!F12,'1998'!F12,'1999'!F12,'2000'!F12,'2001'!F12,'2002'!F12,'2003'!F12,'2004'!F12,'2005'!F12,'2006'!F12,'2007'!F12,'2008'!F12,'2009'!F12,'2010'!F12,'2011'!F12,'2012'!F12,'2013'!F12,'2014'!F12,'2015'!F12,'2016'!F12,'2017'!F12,'2018'!F12,'2019'!F12,'2020'!F12,'2021'!F12,'2022'!F12,'2023'!F12,'2024'!F12,'2025'!F12)</f>
        <v/>
      </c>
      <c r="G12" s="8">
        <f>AVERAGE('1940'!G12,'1941'!G12,'1942'!G12,'1943'!G12,'1944'!G12,'1945'!G12,'1946'!G12,'1947'!G12,'1948'!G12,'1949'!G12,'1950'!G12,'1951'!G12,'1952'!G12,'1953'!G12,'1954'!G12,'1955'!G12,'1956'!G12,'1957'!G12,'1958'!G12,'1959'!G12,'1960'!G12,'1961'!G12,'1962'!G12,'1963'!G12,'1964'!G12,'1965'!G12,'1966'!G12,'1967'!G12,'1968'!G12,'1969'!G12,'1970'!G12,'1971'!G12,'1972'!G12,'1973'!G12,'1974'!G12,'1975'!G12,'1976'!G12,'1977'!G12,'1978'!G12,'1979'!G12,'1980'!G12,'1981'!G12,'1982'!G12,'1983'!G12,'1984'!G12,'1985'!G12,'1986'!G12,'1987'!G12,'1988'!G12,'1989'!G12,'1990'!G12,'1991'!G12,'1992'!G12,'1993'!G12,'1994'!G12,'1995'!G12,'1996'!G12,'1997'!G12,'1998'!G12,'1999'!G12,'2000'!G12,'2001'!G12,'2002'!G12,'2003'!G12,'2004'!G12,'2005'!G12,'2006'!G12,'2007'!G12,'2008'!G12,'2009'!G12,'2010'!G12,'2011'!G12,'2012'!G12,'2013'!G12,'2014'!G12,'2015'!G12,'2016'!G12,'2017'!G12,'2018'!G12,'2019'!G12,'2020'!G12,'2021'!G12,'2022'!G12,'2023'!G12,'2024'!G12,'2025'!G12)</f>
        <v/>
      </c>
      <c r="H12" s="8">
        <f>AVERAGE('1940'!H12,'1941'!H12,'1942'!H12,'1943'!H12,'1944'!H12,'1945'!H12,'1946'!H12,'1947'!H12,'1948'!H12,'1949'!H12,'1950'!H12,'1951'!H12,'1952'!H12,'1953'!H12,'1954'!H12,'1955'!H12,'1956'!H12,'1957'!H12,'1958'!H12,'1959'!H12,'1960'!H12,'1961'!H12,'1962'!H12,'1963'!H12,'1964'!H12,'1965'!H12,'1966'!H12,'1967'!H12,'1968'!H12,'1969'!H12,'1970'!H12,'1971'!H12,'1972'!H12,'1973'!H12,'1974'!H12,'1975'!H12,'1976'!H12,'1977'!H12,'1978'!H12,'1979'!H12,'1980'!H12,'1981'!H12,'1982'!H12,'1983'!H12,'1984'!H12,'1985'!H12,'1986'!H12,'1987'!H12,'1988'!H12,'1989'!H12,'1990'!H12,'1991'!H12,'1992'!H12,'1993'!H12,'1994'!H12,'1995'!H12,'1996'!H12,'1997'!H12,'1998'!H12,'1999'!H12,'2000'!H12,'2001'!H12,'2002'!H12,'2003'!H12,'2004'!H12,'2005'!H12,'2006'!H12,'2007'!H12,'2008'!H12,'2009'!H12,'2010'!H12,'2011'!H12,'2012'!H12,'2013'!H12,'2014'!H12,'2015'!H12,'2016'!H12,'2017'!H12,'2018'!H12,'2019'!H12,'2020'!H12,'2021'!H12,'2022'!H12,'2023'!H12,'2024'!H12,'2025'!H12)</f>
        <v/>
      </c>
      <c r="I12" s="8">
        <f>AVERAGE('1940'!I12,'1941'!I12,'1942'!I12,'1943'!I12,'1944'!I12,'1945'!I12,'1946'!I12,'1947'!I12,'1948'!I12,'1949'!I12,'1950'!I12,'1951'!I12,'1952'!I12,'1953'!I12,'1954'!I12,'1955'!I12,'1956'!I12,'1957'!I12,'1958'!I12,'1959'!I12,'1960'!I12,'1961'!I12,'1962'!I12,'1963'!I12,'1964'!I12,'1965'!I12,'1966'!I12,'1967'!I12,'1968'!I12,'1969'!I12,'1970'!I12,'1971'!I12,'1972'!I12,'1973'!I12,'1974'!I12,'1975'!I12,'1976'!I12,'1977'!I12,'1978'!I12,'1979'!I12,'1980'!I12,'1981'!I12,'1982'!I12,'1983'!I12,'1984'!I12,'1985'!I12,'1986'!I12,'1987'!I12,'1988'!I12,'1989'!I12,'1990'!I12,'1991'!I12,'1992'!I12,'1993'!I12,'1994'!I12,'1995'!I12,'1996'!I12,'1997'!I12,'1998'!I12,'1999'!I12,'2000'!I12,'2001'!I12,'2002'!I12,'2003'!I12,'2004'!I12,'2005'!I12,'2006'!I12,'2007'!I12,'2008'!I12,'2009'!I12,'2010'!I12,'2011'!I12,'2012'!I12,'2013'!I12,'2014'!I12,'2015'!I12,'2016'!I12,'2017'!I12,'2018'!I12,'2019'!I12,'2020'!I12,'2021'!I12,'2022'!I12,'2023'!I12,'2024'!I12,'2025'!I12)</f>
        <v/>
      </c>
      <c r="J12" s="8">
        <f>AVERAGE('1940'!J12,'1941'!J12,'1942'!J12,'1943'!J12,'1944'!J12,'1945'!J12,'1946'!J12,'1947'!J12,'1948'!J12,'1949'!J12,'1950'!J12,'1951'!J12,'1952'!J12,'1953'!J12,'1954'!J12,'1955'!J12,'1956'!J12,'1957'!J12,'1958'!J12,'1959'!J12,'1960'!J12,'1961'!J12,'1962'!J12,'1963'!J12,'1964'!J12,'1965'!J12,'1966'!J12,'1967'!J12,'1968'!J12,'1969'!J12,'1970'!J12,'1971'!J12,'1972'!J12,'1973'!J12,'1974'!J12,'1975'!J12,'1976'!J12,'1977'!J12,'1978'!J12,'1979'!J12,'1980'!J12,'1981'!J12,'1982'!J12,'1983'!J12,'1984'!J12,'1985'!J12,'1986'!J12,'1987'!J12,'1988'!J12,'1989'!J12,'1990'!J12,'1991'!J12,'1992'!J12,'1993'!J12,'1994'!J12,'1995'!J12,'1996'!J12,'1997'!J12,'1998'!J12,'1999'!J12,'2000'!J12,'2001'!J12,'2002'!J12,'2003'!J12,'2004'!J12,'2005'!J12,'2006'!J12,'2007'!J12,'2008'!J12,'2009'!J12,'2010'!J12,'2011'!J12,'2012'!J12,'2013'!J12,'2014'!J12,'2015'!J12,'2016'!J12,'2017'!J12,'2018'!J12,'2019'!J12,'2020'!J12,'2021'!J12,'2022'!J12,'2023'!J12,'2024'!J12,'2025'!J12)</f>
        <v/>
      </c>
      <c r="K12" s="8">
        <f>AVERAGE('1940'!K12,'1941'!K12,'1942'!K12,'1943'!K12,'1944'!K12,'1945'!K12,'1946'!K12,'1947'!K12,'1948'!K12,'1949'!K12,'1950'!K12,'1951'!K12,'1952'!K12,'1953'!K12,'1954'!K12,'1955'!K12,'1956'!K12,'1957'!K12,'1958'!K12,'1959'!K12,'1960'!K12,'1961'!K12,'1962'!K12,'1963'!K12,'1964'!K12,'1965'!K12,'1966'!K12,'1967'!K12,'1968'!K12,'1969'!K12,'1970'!K12,'1971'!K12,'1972'!K12,'1973'!K12,'1974'!K12,'1975'!K12,'1976'!K12,'1977'!K12,'1978'!K12,'1979'!K12,'1980'!K12,'1981'!K12,'1982'!K12,'1983'!K12,'1984'!K12,'1985'!K12,'1986'!K12,'1987'!K12,'1988'!K12,'1989'!K12,'1990'!K12,'1991'!K12,'1992'!K12,'1993'!K12,'1994'!K12,'1995'!K12,'1996'!K12,'1997'!K12,'1998'!K12,'1999'!K12,'2000'!K12,'2001'!K12,'2002'!K12,'2003'!K12,'2004'!K12,'2005'!K12,'2006'!K12,'2007'!K12,'2008'!K12,'2009'!K12,'2010'!K12,'2011'!K12,'2012'!K12,'2013'!K12,'2014'!K12,'2015'!K12,'2016'!K12,'2017'!K12,'2018'!K12,'2019'!K12,'2020'!K12,'2021'!K12,'2022'!K12,'2023'!K12,'2024'!K12,'2025'!K12)</f>
        <v/>
      </c>
      <c r="L12" s="8">
        <f>AVERAGE('1940'!L12,'1941'!L12,'1942'!L12,'1943'!L12,'1944'!L12,'1945'!L12,'1946'!L12,'1947'!L12,'1948'!L12,'1949'!L12,'1950'!L12,'1951'!L12,'1952'!L12,'1953'!L12,'1954'!L12,'1955'!L12,'1956'!L12,'1957'!L12,'1958'!L12,'1959'!L12,'1960'!L12,'1961'!L12,'1962'!L12,'1963'!L12,'1964'!L12,'1965'!L12,'1966'!L12,'1967'!L12,'1968'!L12,'1969'!L12,'1970'!L12,'1971'!L12,'1972'!L12,'1973'!L12,'1974'!L12,'1975'!L12,'1976'!L12,'1977'!L12,'1978'!L12,'1979'!L12,'1980'!L12,'1981'!L12,'1982'!L12,'1983'!L12,'1984'!L12,'1985'!L12,'1986'!L12,'1987'!L12,'1988'!L12,'1989'!L12,'1990'!L12,'1991'!L12,'1992'!L12,'1993'!L12,'1994'!L12,'1995'!L12,'1996'!L12,'1997'!L12,'1998'!L12,'1999'!L12,'2000'!L12,'2001'!L12,'2002'!L12,'2003'!L12,'2004'!L12,'2005'!L12,'2006'!L12,'2007'!L12,'2008'!L12,'2009'!L12,'2010'!L12,'2011'!L12,'2012'!L12,'2013'!L12,'2014'!L12,'2015'!L12,'2016'!L12,'2017'!L12,'2018'!L12,'2019'!L12,'2020'!L12,'2021'!L12,'2022'!L12,'2023'!L12,'2024'!L12,'2025'!L12)</f>
        <v/>
      </c>
      <c r="M12" s="8">
        <f>AVERAGE('1940'!M12,'1941'!M12,'1942'!M12,'1943'!M12,'1944'!M12,'1945'!M12,'1946'!M12,'1947'!M12,'1948'!M12,'1949'!M12,'1950'!M12,'1951'!M12,'1952'!M12,'1953'!M12,'1954'!M12,'1955'!M12,'1956'!M12,'1957'!M12,'1958'!M12,'1959'!M12,'1960'!M12,'1961'!M12,'1962'!M12,'1963'!M12,'1964'!M12,'1965'!M12,'1966'!M12,'1967'!M12,'1968'!M12,'1969'!M12,'1970'!M12,'1971'!M12,'1972'!M12,'1973'!M12,'1974'!M12,'1975'!M12,'1976'!M12,'1977'!M12,'1978'!M12,'1979'!M12,'1980'!M12,'1981'!M12,'1982'!M12,'1983'!M12,'1984'!M12,'1985'!M12,'1986'!M12,'1987'!M12,'1988'!M12,'1989'!M12,'1990'!M12,'1991'!M12,'1992'!M12,'1993'!M12,'1994'!M12,'1995'!M12,'1996'!M12,'1997'!M12,'1998'!M12,'1999'!M12,'2000'!M12,'2001'!M12,'2002'!M12,'2003'!M12,'2004'!M12,'2005'!M12,'2006'!M12,'2007'!M12,'2008'!M12,'2009'!M12,'2010'!M12,'2011'!M12,'2012'!M12,'2013'!M12,'2014'!M12,'2015'!M12,'2016'!M12,'2017'!M12,'2018'!M12,'2019'!M12,'2020'!M12,'2021'!M12,'2022'!M12,'2023'!M12,'2024'!M12,'2025'!M12)</f>
        <v/>
      </c>
      <c r="N12" s="9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>
        <f>AVERAGE('1940'!B14,'1941'!B14,'1942'!B14,'1943'!B14,'1944'!B14,'1945'!B14,'1946'!B14,'1947'!B14,'1948'!B14,'1949'!B14,'1950'!B14,'1951'!B14,'1952'!B14,'1953'!B14,'1954'!B14,'1955'!B14,'1956'!B14,'1957'!B14,'1958'!B14,'1959'!B14,'1960'!B14,'1961'!B14,'1962'!B14,'1963'!B14,'1964'!B14,'1965'!B14,'1966'!B14,'1967'!B14,'1968'!B14,'1969'!B14,'1970'!B14,'1971'!B14,'1972'!B14,'1973'!B14,'1974'!B14,'1975'!B14,'1976'!B14,'1977'!B14,'1978'!B14,'1979'!B14,'1980'!B14,'1981'!B14,'1982'!B14,'1983'!B14,'1984'!B14,'1985'!B14,'1986'!B14,'1987'!B14,'1988'!B14,'1989'!B14,'1990'!B14,'1991'!B14,'1992'!B14,'1993'!B14,'1994'!B14,'1995'!B14,'1996'!B14,'1997'!B14,'1998'!B14,'1999'!B14,'2000'!B14,'2001'!B14,'2002'!B14,'2003'!B14,'2004'!B14,'2005'!B14,'2006'!B14,'2007'!B14,'2008'!B14,'2009'!B14,'2010'!B14,'2011'!B14,'2012'!B14,'2013'!B14,'2014'!B14,'2015'!B14,'2016'!B14,'2017'!B14,'2018'!B14,'2019'!B14,'2020'!B14,'2021'!B14,'2022'!B14,'2023'!B14,'2024'!B14,'2025'!B14)</f>
        <v/>
      </c>
      <c r="C14" s="8">
        <f>AVERAGE('1940'!C14,'1941'!C14,'1942'!C14,'1943'!C14,'1944'!C14,'1945'!C14,'1946'!C14,'1947'!C14,'1948'!C14,'1949'!C14,'1950'!C14,'1951'!C14,'1952'!C14,'1953'!C14,'1954'!C14,'1955'!C14,'1956'!C14,'1957'!C14,'1958'!C14,'1959'!C14,'1960'!C14,'1961'!C14,'1962'!C14,'1963'!C14,'1964'!C14,'1965'!C14,'1966'!C14,'1967'!C14,'1968'!C14,'1969'!C14,'1970'!C14,'1971'!C14,'1972'!C14,'1973'!C14,'1974'!C14,'1975'!C14,'1976'!C14,'1977'!C14,'1978'!C14,'1979'!C14,'1980'!C14,'1981'!C14,'1982'!C14,'1983'!C14,'1984'!C14,'1985'!C14,'1986'!C14,'1987'!C14,'1988'!C14,'1989'!C14,'1990'!C14,'1991'!C14,'1992'!C14,'1993'!C14,'1994'!C14,'1995'!C14,'1996'!C14,'1997'!C14,'1998'!C14,'1999'!C14,'2000'!C14,'2001'!C14,'2002'!C14,'2003'!C14,'2004'!C14,'2005'!C14,'2006'!C14,'2007'!C14,'2008'!C14,'2009'!C14,'2010'!C14,'2011'!C14,'2012'!C14,'2013'!C14,'2014'!C14,'2015'!C14,'2016'!C14,'2017'!C14,'2018'!C14,'2019'!C14,'2020'!C14,'2021'!C14,'2022'!C14,'2023'!C14,'2024'!C14,'2025'!C14)</f>
        <v/>
      </c>
      <c r="D14" s="8">
        <f>AVERAGE('1940'!D14,'1941'!D14,'1942'!D14,'1943'!D14,'1944'!D14,'1945'!D14,'1946'!D14,'1947'!D14,'1948'!D14,'1949'!D14,'1950'!D14,'1951'!D14,'1952'!D14,'1953'!D14,'1954'!D14,'1955'!D14,'1956'!D14,'1957'!D14,'1958'!D14,'1959'!D14,'1960'!D14,'1961'!D14,'1962'!D14,'1963'!D14,'1964'!D14,'1965'!D14,'1966'!D14,'1967'!D14,'1968'!D14,'1969'!D14,'1970'!D14,'1971'!D14,'1972'!D14,'1973'!D14,'1974'!D14,'1975'!D14,'1976'!D14,'1977'!D14,'1978'!D14,'1979'!D14,'1980'!D14,'1981'!D14,'1982'!D14,'1983'!D14,'1984'!D14,'1985'!D14,'1986'!D14,'1987'!D14,'1988'!D14,'1989'!D14,'1990'!D14,'1991'!D14,'1992'!D14,'1993'!D14,'1994'!D14,'1995'!D14,'1996'!D14,'1997'!D14,'1998'!D14,'1999'!D14,'2000'!D14,'2001'!D14,'2002'!D14,'2003'!D14,'2004'!D14,'2005'!D14,'2006'!D14,'2007'!D14,'2008'!D14,'2009'!D14,'2010'!D14,'2011'!D14,'2012'!D14,'2013'!D14,'2014'!D14,'2015'!D14,'2016'!D14,'2017'!D14,'2018'!D14,'2019'!D14,'2020'!D14,'2021'!D14,'2022'!D14,'2023'!D14,'2024'!D14,'2025'!D14)</f>
        <v/>
      </c>
      <c r="E14" s="8">
        <f>AVERAGE('1940'!E14,'1941'!E14,'1942'!E14,'1943'!E14,'1944'!E14,'1945'!E14,'1946'!E14,'1947'!E14,'1948'!E14,'1949'!E14,'1950'!E14,'1951'!E14,'1952'!E14,'1953'!E14,'1954'!E14,'1955'!E14,'1956'!E14,'1957'!E14,'1958'!E14,'1959'!E14,'1960'!E14,'1961'!E14,'1962'!E14,'1963'!E14,'1964'!E14,'1965'!E14,'1966'!E14,'1967'!E14,'1968'!E14,'1969'!E14,'1970'!E14,'1971'!E14,'1972'!E14,'1973'!E14,'1974'!E14,'1975'!E14,'1976'!E14,'1977'!E14,'1978'!E14,'1979'!E14,'1980'!E14,'1981'!E14,'1982'!E14,'1983'!E14,'1984'!E14,'1985'!E14,'1986'!E14,'1987'!E14,'1988'!E14,'1989'!E14,'1990'!E14,'1991'!E14,'1992'!E14,'1993'!E14,'1994'!E14,'1995'!E14,'1996'!E14,'1997'!E14,'1998'!E14,'1999'!E14,'2000'!E14,'2001'!E14,'2002'!E14,'2003'!E14,'2004'!E14,'2005'!E14,'2006'!E14,'2007'!E14,'2008'!E14,'2009'!E14,'2010'!E14,'2011'!E14,'2012'!E14,'2013'!E14,'2014'!E14,'2015'!E14,'2016'!E14,'2017'!E14,'2018'!E14,'2019'!E14,'2020'!E14,'2021'!E14,'2022'!E14,'2023'!E14,'2024'!E14,'2025'!E14)</f>
        <v/>
      </c>
      <c r="F14" s="8">
        <f>AVERAGE('1940'!F14,'1941'!F14,'1942'!F14,'1943'!F14,'1944'!F14,'1945'!F14,'1946'!F14,'1947'!F14,'1948'!F14,'1949'!F14,'1950'!F14,'1951'!F14,'1952'!F14,'1953'!F14,'1954'!F14,'1955'!F14,'1956'!F14,'1957'!F14,'1958'!F14,'1959'!F14,'1960'!F14,'1961'!F14,'1962'!F14,'1963'!F14,'1964'!F14,'1965'!F14,'1966'!F14,'1967'!F14,'1968'!F14,'1969'!F14,'1970'!F14,'1971'!F14,'1972'!F14,'1973'!F14,'1974'!F14,'1975'!F14,'1976'!F14,'1977'!F14,'1978'!F14,'1979'!F14,'1980'!F14,'1981'!F14,'1982'!F14,'1983'!F14,'1984'!F14,'1985'!F14,'1986'!F14,'1987'!F14,'1988'!F14,'1989'!F14,'1990'!F14,'1991'!F14,'1992'!F14,'1993'!F14,'1994'!F14,'1995'!F14,'1996'!F14,'1997'!F14,'1998'!F14,'1999'!F14,'2000'!F14,'2001'!F14,'2002'!F14,'2003'!F14,'2004'!F14,'2005'!F14,'2006'!F14,'2007'!F14,'2008'!F14,'2009'!F14,'2010'!F14,'2011'!F14,'2012'!F14,'2013'!F14,'2014'!F14,'2015'!F14,'2016'!F14,'2017'!F14,'2018'!F14,'2019'!F14,'2020'!F14,'2021'!F14,'2022'!F14,'2023'!F14,'2024'!F14,'2025'!F14)</f>
        <v/>
      </c>
      <c r="G14" s="8">
        <f>AVERAGE('1940'!G14,'1941'!G14,'1942'!G14,'1943'!G14,'1944'!G14,'1945'!G14,'1946'!G14,'1947'!G14,'1948'!G14,'1949'!G14,'1950'!G14,'1951'!G14,'1952'!G14,'1953'!G14,'1954'!G14,'1955'!G14,'1956'!G14,'1957'!G14,'1958'!G14,'1959'!G14,'1960'!G14,'1961'!G14,'1962'!G14,'1963'!G14,'1964'!G14,'1965'!G14,'1966'!G14,'1967'!G14,'1968'!G14,'1969'!G14,'1970'!G14,'1971'!G14,'1972'!G14,'1973'!G14,'1974'!G14,'1975'!G14,'1976'!G14,'1977'!G14,'1978'!G14,'1979'!G14,'1980'!G14,'1981'!G14,'1982'!G14,'1983'!G14,'1984'!G14,'1985'!G14,'1986'!G14,'1987'!G14,'1988'!G14,'1989'!G14,'1990'!G14,'1991'!G14,'1992'!G14,'1993'!G14,'1994'!G14,'1995'!G14,'1996'!G14,'1997'!G14,'1998'!G14,'1999'!G14,'2000'!G14,'2001'!G14,'2002'!G14,'2003'!G14,'2004'!G14,'2005'!G14,'2006'!G14,'2007'!G14,'2008'!G14,'2009'!G14,'2010'!G14,'2011'!G14,'2012'!G14,'2013'!G14,'2014'!G14,'2015'!G14,'2016'!G14,'2017'!G14,'2018'!G14,'2019'!G14,'2020'!G14,'2021'!G14,'2022'!G14,'2023'!G14,'2024'!G14,'2025'!G14)</f>
        <v/>
      </c>
      <c r="H14" s="8">
        <f>AVERAGE('1940'!H14,'1941'!H14,'1942'!H14,'1943'!H14,'1944'!H14,'1945'!H14,'1946'!H14,'1947'!H14,'1948'!H14,'1949'!H14,'1950'!H14,'1951'!H14,'1952'!H14,'1953'!H14,'1954'!H14,'1955'!H14,'1956'!H14,'1957'!H14,'1958'!H14,'1959'!H14,'1960'!H14,'1961'!H14,'1962'!H14,'1963'!H14,'1964'!H14,'1965'!H14,'1966'!H14,'1967'!H14,'1968'!H14,'1969'!H14,'1970'!H14,'1971'!H14,'1972'!H14,'1973'!H14,'1974'!H14,'1975'!H14,'1976'!H14,'1977'!H14,'1978'!H14,'1979'!H14,'1980'!H14,'1981'!H14,'1982'!H14,'1983'!H14,'1984'!H14,'1985'!H14,'1986'!H14,'1987'!H14,'1988'!H14,'1989'!H14,'1990'!H14,'1991'!H14,'1992'!H14,'1993'!H14,'1994'!H14,'1995'!H14,'1996'!H14,'1997'!H14,'1998'!H14,'1999'!H14,'2000'!H14,'2001'!H14,'2002'!H14,'2003'!H14,'2004'!H14,'2005'!H14,'2006'!H14,'2007'!H14,'2008'!H14,'2009'!H14,'2010'!H14,'2011'!H14,'2012'!H14,'2013'!H14,'2014'!H14,'2015'!H14,'2016'!H14,'2017'!H14,'2018'!H14,'2019'!H14,'2020'!H14,'2021'!H14,'2022'!H14,'2023'!H14,'2024'!H14,'2025'!H14)</f>
        <v/>
      </c>
      <c r="I14" s="8">
        <f>AVERAGE('1940'!I14,'1941'!I14,'1942'!I14,'1943'!I14,'1944'!I14,'1945'!I14,'1946'!I14,'1947'!I14,'1948'!I14,'1949'!I14,'1950'!I14,'1951'!I14,'1952'!I14,'1953'!I14,'1954'!I14,'1955'!I14,'1956'!I14,'1957'!I14,'1958'!I14,'1959'!I14,'1960'!I14,'1961'!I14,'1962'!I14,'1963'!I14,'1964'!I14,'1965'!I14,'1966'!I14,'1967'!I14,'1968'!I14,'1969'!I14,'1970'!I14,'1971'!I14,'1972'!I14,'1973'!I14,'1974'!I14,'1975'!I14,'1976'!I14,'1977'!I14,'1978'!I14,'1979'!I14,'1980'!I14,'1981'!I14,'1982'!I14,'1983'!I14,'1984'!I14,'1985'!I14,'1986'!I14,'1987'!I14,'1988'!I14,'1989'!I14,'1990'!I14,'1991'!I14,'1992'!I14,'1993'!I14,'1994'!I14,'1995'!I14,'1996'!I14,'1997'!I14,'1998'!I14,'1999'!I14,'2000'!I14,'2001'!I14,'2002'!I14,'2003'!I14,'2004'!I14,'2005'!I14,'2006'!I14,'2007'!I14,'2008'!I14,'2009'!I14,'2010'!I14,'2011'!I14,'2012'!I14,'2013'!I14,'2014'!I14,'2015'!I14,'2016'!I14,'2017'!I14,'2018'!I14,'2019'!I14,'2020'!I14,'2021'!I14,'2022'!I14,'2023'!I14,'2024'!I14,'2025'!I14)</f>
        <v/>
      </c>
      <c r="J14" s="8">
        <f>AVERAGE('1940'!J14,'1941'!J14,'1942'!J14,'1943'!J14,'1944'!J14,'1945'!J14,'1946'!J14,'1947'!J14,'1948'!J14,'1949'!J14,'1950'!J14,'1951'!J14,'1952'!J14,'1953'!J14,'1954'!J14,'1955'!J14,'1956'!J14,'1957'!J14,'1958'!J14,'1959'!J14,'1960'!J14,'1961'!J14,'1962'!J14,'1963'!J14,'1964'!J14,'1965'!J14,'1966'!J14,'1967'!J14,'1968'!J14,'1969'!J14,'1970'!J14,'1971'!J14,'1972'!J14,'1973'!J14,'1974'!J14,'1975'!J14,'1976'!J14,'1977'!J14,'1978'!J14,'1979'!J14,'1980'!J14,'1981'!J14,'1982'!J14,'1983'!J14,'1984'!J14,'1985'!J14,'1986'!J14,'1987'!J14,'1988'!J14,'1989'!J14,'1990'!J14,'1991'!J14,'1992'!J14,'1993'!J14,'1994'!J14,'1995'!J14,'1996'!J14,'1997'!J14,'1998'!J14,'1999'!J14,'2000'!J14,'2001'!J14,'2002'!J14,'2003'!J14,'2004'!J14,'2005'!J14,'2006'!J14,'2007'!J14,'2008'!J14,'2009'!J14,'2010'!J14,'2011'!J14,'2012'!J14,'2013'!J14,'2014'!J14,'2015'!J14,'2016'!J14,'2017'!J14,'2018'!J14,'2019'!J14,'2020'!J14,'2021'!J14,'2022'!J14,'2023'!J14,'2024'!J14,'2025'!J14)</f>
        <v/>
      </c>
      <c r="K14" s="8">
        <f>AVERAGE('1940'!K14,'1941'!K14,'1942'!K14,'1943'!K14,'1944'!K14,'1945'!K14,'1946'!K14,'1947'!K14,'1948'!K14,'1949'!K14,'1950'!K14,'1951'!K14,'1952'!K14,'1953'!K14,'1954'!K14,'1955'!K14,'1956'!K14,'1957'!K14,'1958'!K14,'1959'!K14,'1960'!K14,'1961'!K14,'1962'!K14,'1963'!K14,'1964'!K14,'1965'!K14,'1966'!K14,'1967'!K14,'1968'!K14,'1969'!K14,'1970'!K14,'1971'!K14,'1972'!K14,'1973'!K14,'1974'!K14,'1975'!K14,'1976'!K14,'1977'!K14,'1978'!K14,'1979'!K14,'1980'!K14,'1981'!K14,'1982'!K14,'1983'!K14,'1984'!K14,'1985'!K14,'1986'!K14,'1987'!K14,'1988'!K14,'1989'!K14,'1990'!K14,'1991'!K14,'1992'!K14,'1993'!K14,'1994'!K14,'1995'!K14,'1996'!K14,'1997'!K14,'1998'!K14,'1999'!K14,'2000'!K14,'2001'!K14,'2002'!K14,'2003'!K14,'2004'!K14,'2005'!K14,'2006'!K14,'2007'!K14,'2008'!K14,'2009'!K14,'2010'!K14,'2011'!K14,'2012'!K14,'2013'!K14,'2014'!K14,'2015'!K14,'2016'!K14,'2017'!K14,'2018'!K14,'2019'!K14,'2020'!K14,'2021'!K14,'2022'!K14,'2023'!K14,'2024'!K14,'2025'!K14)</f>
        <v/>
      </c>
      <c r="L14" s="8">
        <f>AVERAGE('1940'!L14,'1941'!L14,'1942'!L14,'1943'!L14,'1944'!L14,'1945'!L14,'1946'!L14,'1947'!L14,'1948'!L14,'1949'!L14,'1950'!L14,'1951'!L14,'1952'!L14,'1953'!L14,'1954'!L14,'1955'!L14,'1956'!L14,'1957'!L14,'1958'!L14,'1959'!L14,'1960'!L14,'1961'!L14,'1962'!L14,'1963'!L14,'1964'!L14,'1965'!L14,'1966'!L14,'1967'!L14,'1968'!L14,'1969'!L14,'1970'!L14,'1971'!L14,'1972'!L14,'1973'!L14,'1974'!L14,'1975'!L14,'1976'!L14,'1977'!L14,'1978'!L14,'1979'!L14,'1980'!L14,'1981'!L14,'1982'!L14,'1983'!L14,'1984'!L14,'1985'!L14,'1986'!L14,'1987'!L14,'1988'!L14,'1989'!L14,'1990'!L14,'1991'!L14,'1992'!L14,'1993'!L14,'1994'!L14,'1995'!L14,'1996'!L14,'1997'!L14,'1998'!L14,'1999'!L14,'2000'!L14,'2001'!L14,'2002'!L14,'2003'!L14,'2004'!L14,'2005'!L14,'2006'!L14,'2007'!L14,'2008'!L14,'2009'!L14,'2010'!L14,'2011'!L14,'2012'!L14,'2013'!L14,'2014'!L14,'2015'!L14,'2016'!L14,'2017'!L14,'2018'!L14,'2019'!L14,'2020'!L14,'2021'!L14,'2022'!L14,'2023'!L14,'2024'!L14,'2025'!L14)</f>
        <v/>
      </c>
      <c r="M14" s="8">
        <f>AVERAGE('1940'!M14,'1941'!M14,'1942'!M14,'1943'!M14,'1944'!M14,'1945'!M14,'1946'!M14,'1947'!M14,'1948'!M14,'1949'!M14,'1950'!M14,'1951'!M14,'1952'!M14,'1953'!M14,'1954'!M14,'1955'!M14,'1956'!M14,'1957'!M14,'1958'!M14,'1959'!M14,'1960'!M14,'1961'!M14,'1962'!M14,'1963'!M14,'1964'!M14,'1965'!M14,'1966'!M14,'1967'!M14,'1968'!M14,'1969'!M14,'1970'!M14,'1971'!M14,'1972'!M14,'1973'!M14,'1974'!M14,'1975'!M14,'1976'!M14,'1977'!M14,'1978'!M14,'1979'!M14,'1980'!M14,'1981'!M14,'1982'!M14,'1983'!M14,'1984'!M14,'1985'!M14,'1986'!M14,'1987'!M14,'1988'!M14,'1989'!M14,'1990'!M14,'1991'!M14,'1992'!M14,'1993'!M14,'1994'!M14,'1995'!M14,'1996'!M14,'1997'!M14,'1998'!M14,'1999'!M14,'2000'!M14,'2001'!M14,'2002'!M14,'2003'!M14,'2004'!M14,'2005'!M14,'2006'!M14,'2007'!M14,'2008'!M14,'2009'!M14,'2010'!M14,'2011'!M14,'2012'!M14,'2013'!M14,'2014'!M14,'2015'!M14,'2016'!M14,'2017'!M14,'2018'!M14,'2019'!M14,'2020'!M14,'2021'!M14,'2022'!M14,'2023'!M14,'2024'!M14,'2025'!M14)</f>
        <v/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>
        <f>AVERAGE('1940'!B16,'1941'!B16,'1942'!B16,'1943'!B16,'1944'!B16,'1945'!B16,'1946'!B16,'1947'!B16,'1948'!B16,'1949'!B16,'1950'!B16,'1951'!B16,'1952'!B16,'1953'!B16,'1954'!B16,'1955'!B16,'1956'!B16,'1957'!B16,'1958'!B16,'1959'!B16,'1960'!B16,'1961'!B16,'1962'!B16,'1963'!B16,'1964'!B16,'1965'!B16,'1966'!B16,'1967'!B16,'1968'!B16,'1969'!B16,'1970'!B16,'1971'!B16,'1972'!B16,'1973'!B16,'1974'!B16,'1975'!B16,'1976'!B16,'1977'!B16,'1978'!B16,'1979'!B16,'1980'!B16,'1981'!B16,'1982'!B16,'1983'!B16,'1984'!B16,'1985'!B16,'1986'!B16,'1987'!B16,'1988'!B16,'1989'!B16,'1990'!B16,'1991'!B16,'1992'!B16,'1993'!B16,'1994'!B16,'1995'!B16,'1996'!B16,'1997'!B16,'1998'!B16,'1999'!B16,'2000'!B16,'2001'!B16,'2002'!B16,'2003'!B16,'2004'!B16,'2005'!B16,'2006'!B16,'2007'!B16,'2008'!B16,'2009'!B16,'2010'!B16,'2011'!B16,'2012'!B16,'2013'!B16,'2014'!B16,'2015'!B16,'2016'!B16,'2017'!B16,'2018'!B16,'2019'!B16,'2020'!B16,'2021'!B16,'2022'!B16,'2023'!B16,'2024'!B16,'2025'!B16)</f>
        <v/>
      </c>
      <c r="C16" s="8">
        <f>AVERAGE('1940'!C16,'1941'!C16,'1942'!C16,'1943'!C16,'1944'!C16,'1945'!C16,'1946'!C16,'1947'!C16,'1948'!C16,'1949'!C16,'1950'!C16,'1951'!C16,'1952'!C16,'1953'!C16,'1954'!C16,'1955'!C16,'1956'!C16,'1957'!C16,'1958'!C16,'1959'!C16,'1960'!C16,'1961'!C16,'1962'!C16,'1963'!C16,'1964'!C16,'1965'!C16,'1966'!C16,'1967'!C16,'1968'!C16,'1969'!C16,'1970'!C16,'1971'!C16,'1972'!C16,'1973'!C16,'1974'!C16,'1975'!C16,'1976'!C16,'1977'!C16,'1978'!C16,'1979'!C16,'1980'!C16,'1981'!C16,'1982'!C16,'1983'!C16,'1984'!C16,'1985'!C16,'1986'!C16,'1987'!C16,'1988'!C16,'1989'!C16,'1990'!C16,'1991'!C16,'1992'!C16,'1993'!C16,'1994'!C16,'1995'!C16,'1996'!C16,'1997'!C16,'1998'!C16,'1999'!C16,'2000'!C16,'2001'!C16,'2002'!C16,'2003'!C16,'2004'!C16,'2005'!C16,'2006'!C16,'2007'!C16,'2008'!C16,'2009'!C16,'2010'!C16,'2011'!C16,'2012'!C16,'2013'!C16,'2014'!C16,'2015'!C16,'2016'!C16,'2017'!C16,'2018'!C16,'2019'!C16,'2020'!C16,'2021'!C16,'2022'!C16,'2023'!C16,'2024'!C16,'2025'!C16)</f>
        <v/>
      </c>
      <c r="D16" s="8">
        <f>AVERAGE('1940'!D16,'1941'!D16,'1942'!D16,'1943'!D16,'1944'!D16,'1945'!D16,'1946'!D16,'1947'!D16,'1948'!D16,'1949'!D16,'1950'!D16,'1951'!D16,'1952'!D16,'1953'!D16,'1954'!D16,'1955'!D16,'1956'!D16,'1957'!D16,'1958'!D16,'1959'!D16,'1960'!D16,'1961'!D16,'1962'!D16,'1963'!D16,'1964'!D16,'1965'!D16,'1966'!D16,'1967'!D16,'1968'!D16,'1969'!D16,'1970'!D16,'1971'!D16,'1972'!D16,'1973'!D16,'1974'!D16,'1975'!D16,'1976'!D16,'1977'!D16,'1978'!D16,'1979'!D16,'1980'!D16,'1981'!D16,'1982'!D16,'1983'!D16,'1984'!D16,'1985'!D16,'1986'!D16,'1987'!D16,'1988'!D16,'1989'!D16,'1990'!D16,'1991'!D16,'1992'!D16,'1993'!D16,'1994'!D16,'1995'!D16,'1996'!D16,'1997'!D16,'1998'!D16,'1999'!D16,'2000'!D16,'2001'!D16,'2002'!D16,'2003'!D16,'2004'!D16,'2005'!D16,'2006'!D16,'2007'!D16,'2008'!D16,'2009'!D16,'2010'!D16,'2011'!D16,'2012'!D16,'2013'!D16,'2014'!D16,'2015'!D16,'2016'!D16,'2017'!D16,'2018'!D16,'2019'!D16,'2020'!D16,'2021'!D16,'2022'!D16,'2023'!D16,'2024'!D16,'2025'!D16)</f>
        <v/>
      </c>
      <c r="E16" s="8">
        <f>AVERAGE('1940'!E16,'1941'!E16,'1942'!E16,'1943'!E16,'1944'!E16,'1945'!E16,'1946'!E16,'1947'!E16,'1948'!E16,'1949'!E16,'1950'!E16,'1951'!E16,'1952'!E16,'1953'!E16,'1954'!E16,'1955'!E16,'1956'!E16,'1957'!E16,'1958'!E16,'1959'!E16,'1960'!E16,'1961'!E16,'1962'!E16,'1963'!E16,'1964'!E16,'1965'!E16,'1966'!E16,'1967'!E16,'1968'!E16,'1969'!E16,'1970'!E16,'1971'!E16,'1972'!E16,'1973'!E16,'1974'!E16,'1975'!E16,'1976'!E16,'1977'!E16,'1978'!E16,'1979'!E16,'1980'!E16,'1981'!E16,'1982'!E16,'1983'!E16,'1984'!E16,'1985'!E16,'1986'!E16,'1987'!E16,'1988'!E16,'1989'!E16,'1990'!E16,'1991'!E16,'1992'!E16,'1993'!E16,'1994'!E16,'1995'!E16,'1996'!E16,'1997'!E16,'1998'!E16,'1999'!E16,'2000'!E16,'2001'!E16,'2002'!E16,'2003'!E16,'2004'!E16,'2005'!E16,'2006'!E16,'2007'!E16,'2008'!E16,'2009'!E16,'2010'!E16,'2011'!E16,'2012'!E16,'2013'!E16,'2014'!E16,'2015'!E16,'2016'!E16,'2017'!E16,'2018'!E16,'2019'!E16,'2020'!E16,'2021'!E16,'2022'!E16,'2023'!E16,'2024'!E16,'2025'!E16)</f>
        <v/>
      </c>
      <c r="F16" s="8">
        <f>AVERAGE('1940'!F16,'1941'!F16,'1942'!F16,'1943'!F16,'1944'!F16,'1945'!F16,'1946'!F16,'1947'!F16,'1948'!F16,'1949'!F16,'1950'!F16,'1951'!F16,'1952'!F16,'1953'!F16,'1954'!F16,'1955'!F16,'1956'!F16,'1957'!F16,'1958'!F16,'1959'!F16,'1960'!F16,'1961'!F16,'1962'!F16,'1963'!F16,'1964'!F16,'1965'!F16,'1966'!F16,'1967'!F16,'1968'!F16,'1969'!F16,'1970'!F16,'1971'!F16,'1972'!F16,'1973'!F16,'1974'!F16,'1975'!F16,'1976'!F16,'1977'!F16,'1978'!F16,'1979'!F16,'1980'!F16,'1981'!F16,'1982'!F16,'1983'!F16,'1984'!F16,'1985'!F16,'1986'!F16,'1987'!F16,'1988'!F16,'1989'!F16,'1990'!F16,'1991'!F16,'1992'!F16,'1993'!F16,'1994'!F16,'1995'!F16,'1996'!F16,'1997'!F16,'1998'!F16,'1999'!F16,'2000'!F16,'2001'!F16,'2002'!F16,'2003'!F16,'2004'!F16,'2005'!F16,'2006'!F16,'2007'!F16,'2008'!F16,'2009'!F16,'2010'!F16,'2011'!F16,'2012'!F16,'2013'!F16,'2014'!F16,'2015'!F16,'2016'!F16,'2017'!F16,'2018'!F16,'2019'!F16,'2020'!F16,'2021'!F16,'2022'!F16,'2023'!F16,'2024'!F16,'2025'!F16)</f>
        <v/>
      </c>
      <c r="G16" s="8">
        <f>AVERAGE('1940'!G16,'1941'!G16,'1942'!G16,'1943'!G16,'1944'!G16,'1945'!G16,'1946'!G16,'1947'!G16,'1948'!G16,'1949'!G16,'1950'!G16,'1951'!G16,'1952'!G16,'1953'!G16,'1954'!G16,'1955'!G16,'1956'!G16,'1957'!G16,'1958'!G16,'1959'!G16,'1960'!G16,'1961'!G16,'1962'!G16,'1963'!G16,'1964'!G16,'1965'!G16,'1966'!G16,'1967'!G16,'1968'!G16,'1969'!G16,'1970'!G16,'1971'!G16,'1972'!G16,'1973'!G16,'1974'!G16,'1975'!G16,'1976'!G16,'1977'!G16,'1978'!G16,'1979'!G16,'1980'!G16,'1981'!G16,'1982'!G16,'1983'!G16,'1984'!G16,'1985'!G16,'1986'!G16,'1987'!G16,'1988'!G16,'1989'!G16,'1990'!G16,'1991'!G16,'1992'!G16,'1993'!G16,'1994'!G16,'1995'!G16,'1996'!G16,'1997'!G16,'1998'!G16,'1999'!G16,'2000'!G16,'2001'!G16,'2002'!G16,'2003'!G16,'2004'!G16,'2005'!G16,'2006'!G16,'2007'!G16,'2008'!G16,'2009'!G16,'2010'!G16,'2011'!G16,'2012'!G16,'2013'!G16,'2014'!G16,'2015'!G16,'2016'!G16,'2017'!G16,'2018'!G16,'2019'!G16,'2020'!G16,'2021'!G16,'2022'!G16,'2023'!G16,'2024'!G16,'2025'!G16)</f>
        <v/>
      </c>
      <c r="H16" s="8">
        <f>AVERAGE('1940'!H16,'1941'!H16,'1942'!H16,'1943'!H16,'1944'!H16,'1945'!H16,'1946'!H16,'1947'!H16,'1948'!H16,'1949'!H16,'1950'!H16,'1951'!H16,'1952'!H16,'1953'!H16,'1954'!H16,'1955'!H16,'1956'!H16,'1957'!H16,'1958'!H16,'1959'!H16,'1960'!H16,'1961'!H16,'1962'!H16,'1963'!H16,'1964'!H16,'1965'!H16,'1966'!H16,'1967'!H16,'1968'!H16,'1969'!H16,'1970'!H16,'1971'!H16,'1972'!H16,'1973'!H16,'1974'!H16,'1975'!H16,'1976'!H16,'1977'!H16,'1978'!H16,'1979'!H16,'1980'!H16,'1981'!H16,'1982'!H16,'1983'!H16,'1984'!H16,'1985'!H16,'1986'!H16,'1987'!H16,'1988'!H16,'1989'!H16,'1990'!H16,'1991'!H16,'1992'!H16,'1993'!H16,'1994'!H16,'1995'!H16,'1996'!H16,'1997'!H16,'1998'!H16,'1999'!H16,'2000'!H16,'2001'!H16,'2002'!H16,'2003'!H16,'2004'!H16,'2005'!H16,'2006'!H16,'2007'!H16,'2008'!H16,'2009'!H16,'2010'!H16,'2011'!H16,'2012'!H16,'2013'!H16,'2014'!H16,'2015'!H16,'2016'!H16,'2017'!H16,'2018'!H16,'2019'!H16,'2020'!H16,'2021'!H16,'2022'!H16,'2023'!H16,'2024'!H16,'2025'!H16)</f>
        <v/>
      </c>
      <c r="I16" s="8">
        <f>AVERAGE('1940'!I16,'1941'!I16,'1942'!I16,'1943'!I16,'1944'!I16,'1945'!I16,'1946'!I16,'1947'!I16,'1948'!I16,'1949'!I16,'1950'!I16,'1951'!I16,'1952'!I16,'1953'!I16,'1954'!I16,'1955'!I16,'1956'!I16,'1957'!I16,'1958'!I16,'1959'!I16,'1960'!I16,'1961'!I16,'1962'!I16,'1963'!I16,'1964'!I16,'1965'!I16,'1966'!I16,'1967'!I16,'1968'!I16,'1969'!I16,'1970'!I16,'1971'!I16,'1972'!I16,'1973'!I16,'1974'!I16,'1975'!I16,'1976'!I16,'1977'!I16,'1978'!I16,'1979'!I16,'1980'!I16,'1981'!I16,'1982'!I16,'1983'!I16,'1984'!I16,'1985'!I16,'1986'!I16,'1987'!I16,'1988'!I16,'1989'!I16,'1990'!I16,'1991'!I16,'1992'!I16,'1993'!I16,'1994'!I16,'1995'!I16,'1996'!I16,'1997'!I16,'1998'!I16,'1999'!I16,'2000'!I16,'2001'!I16,'2002'!I16,'2003'!I16,'2004'!I16,'2005'!I16,'2006'!I16,'2007'!I16,'2008'!I16,'2009'!I16,'2010'!I16,'2011'!I16,'2012'!I16,'2013'!I16,'2014'!I16,'2015'!I16,'2016'!I16,'2017'!I16,'2018'!I16,'2019'!I16,'2020'!I16,'2021'!I16,'2022'!I16,'2023'!I16,'2024'!I16,'2025'!I16)</f>
        <v/>
      </c>
      <c r="J16" s="8">
        <f>AVERAGE('1940'!J16,'1941'!J16,'1942'!J16,'1943'!J16,'1944'!J16,'1945'!J16,'1946'!J16,'1947'!J16,'1948'!J16,'1949'!J16,'1950'!J16,'1951'!J16,'1952'!J16,'1953'!J16,'1954'!J16,'1955'!J16,'1956'!J16,'1957'!J16,'1958'!J16,'1959'!J16,'1960'!J16,'1961'!J16,'1962'!J16,'1963'!J16,'1964'!J16,'1965'!J16,'1966'!J16,'1967'!J16,'1968'!J16,'1969'!J16,'1970'!J16,'1971'!J16,'1972'!J16,'1973'!J16,'1974'!J16,'1975'!J16,'1976'!J16,'1977'!J16,'1978'!J16,'1979'!J16,'1980'!J16,'1981'!J16,'1982'!J16,'1983'!J16,'1984'!J16,'1985'!J16,'1986'!J16,'1987'!J16,'1988'!J16,'1989'!J16,'1990'!J16,'1991'!J16,'1992'!J16,'1993'!J16,'1994'!J16,'1995'!J16,'1996'!J16,'1997'!J16,'1998'!J16,'1999'!J16,'2000'!J16,'2001'!J16,'2002'!J16,'2003'!J16,'2004'!J16,'2005'!J16,'2006'!J16,'2007'!J16,'2008'!J16,'2009'!J16,'2010'!J16,'2011'!J16,'2012'!J16,'2013'!J16,'2014'!J16,'2015'!J16,'2016'!J16,'2017'!J16,'2018'!J16,'2019'!J16,'2020'!J16,'2021'!J16,'2022'!J16,'2023'!J16,'2024'!J16,'2025'!J16)</f>
        <v/>
      </c>
      <c r="K16" s="8">
        <f>AVERAGE('1940'!K16,'1941'!K16,'1942'!K16,'1943'!K16,'1944'!K16,'1945'!K16,'1946'!K16,'1947'!K16,'1948'!K16,'1949'!K16,'1950'!K16,'1951'!K16,'1952'!K16,'1953'!K16,'1954'!K16,'1955'!K16,'1956'!K16,'1957'!K16,'1958'!K16,'1959'!K16,'1960'!K16,'1961'!K16,'1962'!K16,'1963'!K16,'1964'!K16,'1965'!K16,'1966'!K16,'1967'!K16,'1968'!K16,'1969'!K16,'1970'!K16,'1971'!K16,'1972'!K16,'1973'!K16,'1974'!K16,'1975'!K16,'1976'!K16,'1977'!K16,'1978'!K16,'1979'!K16,'1980'!K16,'1981'!K16,'1982'!K16,'1983'!K16,'1984'!K16,'1985'!K16,'1986'!K16,'1987'!K16,'1988'!K16,'1989'!K16,'1990'!K16,'1991'!K16,'1992'!K16,'1993'!K16,'1994'!K16,'1995'!K16,'1996'!K16,'1997'!K16,'1998'!K16,'1999'!K16,'2000'!K16,'2001'!K16,'2002'!K16,'2003'!K16,'2004'!K16,'2005'!K16,'2006'!K16,'2007'!K16,'2008'!K16,'2009'!K16,'2010'!K16,'2011'!K16,'2012'!K16,'2013'!K16,'2014'!K16,'2015'!K16,'2016'!K16,'2017'!K16,'2018'!K16,'2019'!K16,'2020'!K16,'2021'!K16,'2022'!K16,'2023'!K16,'2024'!K16,'2025'!K16)</f>
        <v/>
      </c>
      <c r="L16" s="8">
        <f>AVERAGE('1940'!L16,'1941'!L16,'1942'!L16,'1943'!L16,'1944'!L16,'1945'!L16,'1946'!L16,'1947'!L16,'1948'!L16,'1949'!L16,'1950'!L16,'1951'!L16,'1952'!L16,'1953'!L16,'1954'!L16,'1955'!L16,'1956'!L16,'1957'!L16,'1958'!L16,'1959'!L16,'1960'!L16,'1961'!L16,'1962'!L16,'1963'!L16,'1964'!L16,'1965'!L16,'1966'!L16,'1967'!L16,'1968'!L16,'1969'!L16,'1970'!L16,'1971'!L16,'1972'!L16,'1973'!L16,'1974'!L16,'1975'!L16,'1976'!L16,'1977'!L16,'1978'!L16,'1979'!L16,'1980'!L16,'1981'!L16,'1982'!L16,'1983'!L16,'1984'!L16,'1985'!L16,'1986'!L16,'1987'!L16,'1988'!L16,'1989'!L16,'1990'!L16,'1991'!L16,'1992'!L16,'1993'!L16,'1994'!L16,'1995'!L16,'1996'!L16,'1997'!L16,'1998'!L16,'1999'!L16,'2000'!L16,'2001'!L16,'2002'!L16,'2003'!L16,'2004'!L16,'2005'!L16,'2006'!L16,'2007'!L16,'2008'!L16,'2009'!L16,'2010'!L16,'2011'!L16,'2012'!L16,'2013'!L16,'2014'!L16,'2015'!L16,'2016'!L16,'2017'!L16,'2018'!L16,'2019'!L16,'2020'!L16,'2021'!L16,'2022'!L16,'2023'!L16,'2024'!L16,'2025'!L16)</f>
        <v/>
      </c>
      <c r="M16" s="8">
        <f>AVERAGE('1940'!M16,'1941'!M16,'1942'!M16,'1943'!M16,'1944'!M16,'1945'!M16,'1946'!M16,'1947'!M16,'1948'!M16,'1949'!M16,'1950'!M16,'1951'!M16,'1952'!M16,'1953'!M16,'1954'!M16,'1955'!M16,'1956'!M16,'1957'!M16,'1958'!M16,'1959'!M16,'1960'!M16,'1961'!M16,'1962'!M16,'1963'!M16,'1964'!M16,'1965'!M16,'1966'!M16,'1967'!M16,'1968'!M16,'1969'!M16,'1970'!M16,'1971'!M16,'1972'!M16,'1973'!M16,'1974'!M16,'1975'!M16,'1976'!M16,'1977'!M16,'1978'!M16,'1979'!M16,'1980'!M16,'1981'!M16,'1982'!M16,'1983'!M16,'1984'!M16,'1985'!M16,'1986'!M16,'1987'!M16,'1988'!M16,'1989'!M16,'1990'!M16,'1991'!M16,'1992'!M16,'1993'!M16,'1994'!M16,'1995'!M16,'1996'!M16,'1997'!M16,'1998'!M16,'1999'!M16,'2000'!M16,'2001'!M16,'2002'!M16,'2003'!M16,'2004'!M16,'2005'!M16,'2006'!M16,'2007'!M16,'2008'!M16,'2009'!M16,'2010'!M16,'2011'!M16,'2012'!M16,'2013'!M16,'2014'!M16,'2015'!M16,'2016'!M16,'2017'!M16,'2018'!M16,'2019'!M16,'2020'!M16,'2021'!M16,'2022'!M16,'2023'!M16,'2024'!M16,'2025'!M16)</f>
        <v/>
      </c>
      <c r="N16" s="9">
        <f>SUM(B16:M16)</f>
        <v/>
      </c>
    </row>
    <row r="17">
      <c r="A17" s="7" t="inlineStr">
        <is>
          <t>Broj vedrih dana</t>
        </is>
      </c>
      <c r="B17" s="8">
        <f>AVERAGE('1940'!B17,'1941'!B17,'1942'!B17,'1943'!B17,'1944'!B17,'1945'!B17,'1946'!B17,'1947'!B17,'1948'!B17,'1949'!B17,'1950'!B17,'1951'!B17,'1952'!B17,'1953'!B17,'1954'!B17,'1955'!B17,'1956'!B17,'1957'!B17,'1958'!B17,'1959'!B17,'1960'!B17,'1961'!B17,'1962'!B17,'1963'!B17,'1964'!B17,'1965'!B17,'1966'!B17,'1967'!B17,'1968'!B17,'1969'!B17,'1970'!B17,'1971'!B17,'1972'!B17,'1973'!B17,'1974'!B17,'1975'!B17,'1976'!B17,'1977'!B17,'1978'!B17,'1979'!B17,'1980'!B17,'1981'!B17,'1982'!B17,'1983'!B17,'1984'!B17,'1985'!B17,'1986'!B17,'1987'!B17,'1988'!B17,'1989'!B17,'1990'!B17,'1991'!B17,'1992'!B17,'1993'!B17,'1994'!B17,'1995'!B17,'1996'!B17,'1997'!B17,'1998'!B17,'1999'!B17,'2000'!B17,'2001'!B17,'2002'!B17,'2003'!B17,'2004'!B17,'2005'!B17,'2006'!B17,'2007'!B17,'2008'!B17,'2009'!B17,'2010'!B17,'2011'!B17,'2012'!B17,'2013'!B17,'2014'!B17,'2015'!B17,'2016'!B17,'2017'!B17,'2018'!B17,'2019'!B17,'2020'!B17,'2021'!B17,'2022'!B17,'2023'!B17,'2024'!B17,'2025'!B17)</f>
        <v/>
      </c>
      <c r="C17" s="8">
        <f>AVERAGE('1940'!C17,'1941'!C17,'1942'!C17,'1943'!C17,'1944'!C17,'1945'!C17,'1946'!C17,'1947'!C17,'1948'!C17,'1949'!C17,'1950'!C17,'1951'!C17,'1952'!C17,'1953'!C17,'1954'!C17,'1955'!C17,'1956'!C17,'1957'!C17,'1958'!C17,'1959'!C17,'1960'!C17,'1961'!C17,'1962'!C17,'1963'!C17,'1964'!C17,'1965'!C17,'1966'!C17,'1967'!C17,'1968'!C17,'1969'!C17,'1970'!C17,'1971'!C17,'1972'!C17,'1973'!C17,'1974'!C17,'1975'!C17,'1976'!C17,'1977'!C17,'1978'!C17,'1979'!C17,'1980'!C17,'1981'!C17,'1982'!C17,'1983'!C17,'1984'!C17,'1985'!C17,'1986'!C17,'1987'!C17,'1988'!C17,'1989'!C17,'1990'!C17,'1991'!C17,'1992'!C17,'1993'!C17,'1994'!C17,'1995'!C17,'1996'!C17,'1997'!C17,'1998'!C17,'1999'!C17,'2000'!C17,'2001'!C17,'2002'!C17,'2003'!C17,'2004'!C17,'2005'!C17,'2006'!C17,'2007'!C17,'2008'!C17,'2009'!C17,'2010'!C17,'2011'!C17,'2012'!C17,'2013'!C17,'2014'!C17,'2015'!C17,'2016'!C17,'2017'!C17,'2018'!C17,'2019'!C17,'2020'!C17,'2021'!C17,'2022'!C17,'2023'!C17,'2024'!C17,'2025'!C17)</f>
        <v/>
      </c>
      <c r="D17" s="8">
        <f>AVERAGE('1940'!D17,'1941'!D17,'1942'!D17,'1943'!D17,'1944'!D17,'1945'!D17,'1946'!D17,'1947'!D17,'1948'!D17,'1949'!D17,'1950'!D17,'1951'!D17,'1952'!D17,'1953'!D17,'1954'!D17,'1955'!D17,'1956'!D17,'1957'!D17,'1958'!D17,'1959'!D17,'1960'!D17,'1961'!D17,'1962'!D17,'1963'!D17,'1964'!D17,'1965'!D17,'1966'!D17,'1967'!D17,'1968'!D17,'1969'!D17,'1970'!D17,'1971'!D17,'1972'!D17,'1973'!D17,'1974'!D17,'1975'!D17,'1976'!D17,'1977'!D17,'1978'!D17,'1979'!D17,'1980'!D17,'1981'!D17,'1982'!D17,'1983'!D17,'1984'!D17,'1985'!D17,'1986'!D17,'1987'!D17,'1988'!D17,'1989'!D17,'1990'!D17,'1991'!D17,'1992'!D17,'1993'!D17,'1994'!D17,'1995'!D17,'1996'!D17,'1997'!D17,'1998'!D17,'1999'!D17,'2000'!D17,'2001'!D17,'2002'!D17,'2003'!D17,'2004'!D17,'2005'!D17,'2006'!D17,'2007'!D17,'2008'!D17,'2009'!D17,'2010'!D17,'2011'!D17,'2012'!D17,'2013'!D17,'2014'!D17,'2015'!D17,'2016'!D17,'2017'!D17,'2018'!D17,'2019'!D17,'2020'!D17,'2021'!D17,'2022'!D17,'2023'!D17,'2024'!D17,'2025'!D17)</f>
        <v/>
      </c>
      <c r="E17" s="8">
        <f>AVERAGE('1940'!E17,'1941'!E17,'1942'!E17,'1943'!E17,'1944'!E17,'1945'!E17,'1946'!E17,'1947'!E17,'1948'!E17,'1949'!E17,'1950'!E17,'1951'!E17,'1952'!E17,'1953'!E17,'1954'!E17,'1955'!E17,'1956'!E17,'1957'!E17,'1958'!E17,'1959'!E17,'1960'!E17,'1961'!E17,'1962'!E17,'1963'!E17,'1964'!E17,'1965'!E17,'1966'!E17,'1967'!E17,'1968'!E17,'1969'!E17,'1970'!E17,'1971'!E17,'1972'!E17,'1973'!E17,'1974'!E17,'1975'!E17,'1976'!E17,'1977'!E17,'1978'!E17,'1979'!E17,'1980'!E17,'1981'!E17,'1982'!E17,'1983'!E17,'1984'!E17,'1985'!E17,'1986'!E17,'1987'!E17,'1988'!E17,'1989'!E17,'1990'!E17,'1991'!E17,'1992'!E17,'1993'!E17,'1994'!E17,'1995'!E17,'1996'!E17,'1997'!E17,'1998'!E17,'1999'!E17,'2000'!E17,'2001'!E17,'2002'!E17,'2003'!E17,'2004'!E17,'2005'!E17,'2006'!E17,'2007'!E17,'2008'!E17,'2009'!E17,'2010'!E17,'2011'!E17,'2012'!E17,'2013'!E17,'2014'!E17,'2015'!E17,'2016'!E17,'2017'!E17,'2018'!E17,'2019'!E17,'2020'!E17,'2021'!E17,'2022'!E17,'2023'!E17,'2024'!E17,'2025'!E17)</f>
        <v/>
      </c>
      <c r="F17" s="8">
        <f>AVERAGE('1940'!F17,'1941'!F17,'1942'!F17,'1943'!F17,'1944'!F17,'1945'!F17,'1946'!F17,'1947'!F17,'1948'!F17,'1949'!F17,'1950'!F17,'1951'!F17,'1952'!F17,'1953'!F17,'1954'!F17,'1955'!F17,'1956'!F17,'1957'!F17,'1958'!F17,'1959'!F17,'1960'!F17,'1961'!F17,'1962'!F17,'1963'!F17,'1964'!F17,'1965'!F17,'1966'!F17,'1967'!F17,'1968'!F17,'1969'!F17,'1970'!F17,'1971'!F17,'1972'!F17,'1973'!F17,'1974'!F17,'1975'!F17,'1976'!F17,'1977'!F17,'1978'!F17,'1979'!F17,'1980'!F17,'1981'!F17,'1982'!F17,'1983'!F17,'1984'!F17,'1985'!F17,'1986'!F17,'1987'!F17,'1988'!F17,'1989'!F17,'1990'!F17,'1991'!F17,'1992'!F17,'1993'!F17,'1994'!F17,'1995'!F17,'1996'!F17,'1997'!F17,'1998'!F17,'1999'!F17,'2000'!F17,'2001'!F17,'2002'!F17,'2003'!F17,'2004'!F17,'2005'!F17,'2006'!F17,'2007'!F17,'2008'!F17,'2009'!F17,'2010'!F17,'2011'!F17,'2012'!F17,'2013'!F17,'2014'!F17,'2015'!F17,'2016'!F17,'2017'!F17,'2018'!F17,'2019'!F17,'2020'!F17,'2021'!F17,'2022'!F17,'2023'!F17,'2024'!F17,'2025'!F17)</f>
        <v/>
      </c>
      <c r="G17" s="8">
        <f>AVERAGE('1940'!G17,'1941'!G17,'1942'!G17,'1943'!G17,'1944'!G17,'1945'!G17,'1946'!G17,'1947'!G17,'1948'!G17,'1949'!G17,'1950'!G17,'1951'!G17,'1952'!G17,'1953'!G17,'1954'!G17,'1955'!G17,'1956'!G17,'1957'!G17,'1958'!G17,'1959'!G17,'1960'!G17,'1961'!G17,'1962'!G17,'1963'!G17,'1964'!G17,'1965'!G17,'1966'!G17,'1967'!G17,'1968'!G17,'1969'!G17,'1970'!G17,'1971'!G17,'1972'!G17,'1973'!G17,'1974'!G17,'1975'!G17,'1976'!G17,'1977'!G17,'1978'!G17,'1979'!G17,'1980'!G17,'1981'!G17,'1982'!G17,'1983'!G17,'1984'!G17,'1985'!G17,'1986'!G17,'1987'!G17,'1988'!G17,'1989'!G17,'1990'!G17,'1991'!G17,'1992'!G17,'1993'!G17,'1994'!G17,'1995'!G17,'1996'!G17,'1997'!G17,'1998'!G17,'1999'!G17,'2000'!G17,'2001'!G17,'2002'!G17,'2003'!G17,'2004'!G17,'2005'!G17,'2006'!G17,'2007'!G17,'2008'!G17,'2009'!G17,'2010'!G17,'2011'!G17,'2012'!G17,'2013'!G17,'2014'!G17,'2015'!G17,'2016'!G17,'2017'!G17,'2018'!G17,'2019'!G17,'2020'!G17,'2021'!G17,'2022'!G17,'2023'!G17,'2024'!G17,'2025'!G17)</f>
        <v/>
      </c>
      <c r="H17" s="8">
        <f>AVERAGE('1940'!H17,'1941'!H17,'1942'!H17,'1943'!H17,'1944'!H17,'1945'!H17,'1946'!H17,'1947'!H17,'1948'!H17,'1949'!H17,'1950'!H17,'1951'!H17,'1952'!H17,'1953'!H17,'1954'!H17,'1955'!H17,'1956'!H17,'1957'!H17,'1958'!H17,'1959'!H17,'1960'!H17,'1961'!H17,'1962'!H17,'1963'!H17,'1964'!H17,'1965'!H17,'1966'!H17,'1967'!H17,'1968'!H17,'1969'!H17,'1970'!H17,'1971'!H17,'1972'!H17,'1973'!H17,'1974'!H17,'1975'!H17,'1976'!H17,'1977'!H17,'1978'!H17,'1979'!H17,'1980'!H17,'1981'!H17,'1982'!H17,'1983'!H17,'1984'!H17,'1985'!H17,'1986'!H17,'1987'!H17,'1988'!H17,'1989'!H17,'1990'!H17,'1991'!H17,'1992'!H17,'1993'!H17,'1994'!H17,'1995'!H17,'1996'!H17,'1997'!H17,'1998'!H17,'1999'!H17,'2000'!H17,'2001'!H17,'2002'!H17,'2003'!H17,'2004'!H17,'2005'!H17,'2006'!H17,'2007'!H17,'2008'!H17,'2009'!H17,'2010'!H17,'2011'!H17,'2012'!H17,'2013'!H17,'2014'!H17,'2015'!H17,'2016'!H17,'2017'!H17,'2018'!H17,'2019'!H17,'2020'!H17,'2021'!H17,'2022'!H17,'2023'!H17,'2024'!H17,'2025'!H17)</f>
        <v/>
      </c>
      <c r="I17" s="8">
        <f>AVERAGE('1940'!I17,'1941'!I17,'1942'!I17,'1943'!I17,'1944'!I17,'1945'!I17,'1946'!I17,'1947'!I17,'1948'!I17,'1949'!I17,'1950'!I17,'1951'!I17,'1952'!I17,'1953'!I17,'1954'!I17,'1955'!I17,'1956'!I17,'1957'!I17,'1958'!I17,'1959'!I17,'1960'!I17,'1961'!I17,'1962'!I17,'1963'!I17,'1964'!I17,'1965'!I17,'1966'!I17,'1967'!I17,'1968'!I17,'1969'!I17,'1970'!I17,'1971'!I17,'1972'!I17,'1973'!I17,'1974'!I17,'1975'!I17,'1976'!I17,'1977'!I17,'1978'!I17,'1979'!I17,'1980'!I17,'1981'!I17,'1982'!I17,'1983'!I17,'1984'!I17,'1985'!I17,'1986'!I17,'1987'!I17,'1988'!I17,'1989'!I17,'1990'!I17,'1991'!I17,'1992'!I17,'1993'!I17,'1994'!I17,'1995'!I17,'1996'!I17,'1997'!I17,'1998'!I17,'1999'!I17,'2000'!I17,'2001'!I17,'2002'!I17,'2003'!I17,'2004'!I17,'2005'!I17,'2006'!I17,'2007'!I17,'2008'!I17,'2009'!I17,'2010'!I17,'2011'!I17,'2012'!I17,'2013'!I17,'2014'!I17,'2015'!I17,'2016'!I17,'2017'!I17,'2018'!I17,'2019'!I17,'2020'!I17,'2021'!I17,'2022'!I17,'2023'!I17,'2024'!I17,'2025'!I17)</f>
        <v/>
      </c>
      <c r="J17" s="8">
        <f>AVERAGE('1940'!J17,'1941'!J17,'1942'!J17,'1943'!J17,'1944'!J17,'1945'!J17,'1946'!J17,'1947'!J17,'1948'!J17,'1949'!J17,'1950'!J17,'1951'!J17,'1952'!J17,'1953'!J17,'1954'!J17,'1955'!J17,'1956'!J17,'1957'!J17,'1958'!J17,'1959'!J17,'1960'!J17,'1961'!J17,'1962'!J17,'1963'!J17,'1964'!J17,'1965'!J17,'1966'!J17,'1967'!J17,'1968'!J17,'1969'!J17,'1970'!J17,'1971'!J17,'1972'!J17,'1973'!J17,'1974'!J17,'1975'!J17,'1976'!J17,'1977'!J17,'1978'!J17,'1979'!J17,'1980'!J17,'1981'!J17,'1982'!J17,'1983'!J17,'1984'!J17,'1985'!J17,'1986'!J17,'1987'!J17,'1988'!J17,'1989'!J17,'1990'!J17,'1991'!J17,'1992'!J17,'1993'!J17,'1994'!J17,'1995'!J17,'1996'!J17,'1997'!J17,'1998'!J17,'1999'!J17,'2000'!J17,'2001'!J17,'2002'!J17,'2003'!J17,'2004'!J17,'2005'!J17,'2006'!J17,'2007'!J17,'2008'!J17,'2009'!J17,'2010'!J17,'2011'!J17,'2012'!J17,'2013'!J17,'2014'!J17,'2015'!J17,'2016'!J17,'2017'!J17,'2018'!J17,'2019'!J17,'2020'!J17,'2021'!J17,'2022'!J17,'2023'!J17,'2024'!J17,'2025'!J17)</f>
        <v/>
      </c>
      <c r="K17" s="8">
        <f>AVERAGE('1940'!K17,'1941'!K17,'1942'!K17,'1943'!K17,'1944'!K17,'1945'!K17,'1946'!K17,'1947'!K17,'1948'!K17,'1949'!K17,'1950'!K17,'1951'!K17,'1952'!K17,'1953'!K17,'1954'!K17,'1955'!K17,'1956'!K17,'1957'!K17,'1958'!K17,'1959'!K17,'1960'!K17,'1961'!K17,'1962'!K17,'1963'!K17,'1964'!K17,'1965'!K17,'1966'!K17,'1967'!K17,'1968'!K17,'1969'!K17,'1970'!K17,'1971'!K17,'1972'!K17,'1973'!K17,'1974'!K17,'1975'!K17,'1976'!K17,'1977'!K17,'1978'!K17,'1979'!K17,'1980'!K17,'1981'!K17,'1982'!K17,'1983'!K17,'1984'!K17,'1985'!K17,'1986'!K17,'1987'!K17,'1988'!K17,'1989'!K17,'1990'!K17,'1991'!K17,'1992'!K17,'1993'!K17,'1994'!K17,'1995'!K17,'1996'!K17,'1997'!K17,'1998'!K17,'1999'!K17,'2000'!K17,'2001'!K17,'2002'!K17,'2003'!K17,'2004'!K17,'2005'!K17,'2006'!K17,'2007'!K17,'2008'!K17,'2009'!K17,'2010'!K17,'2011'!K17,'2012'!K17,'2013'!K17,'2014'!K17,'2015'!K17,'2016'!K17,'2017'!K17,'2018'!K17,'2019'!K17,'2020'!K17,'2021'!K17,'2022'!K17,'2023'!K17,'2024'!K17,'2025'!K17)</f>
        <v/>
      </c>
      <c r="L17" s="8">
        <f>AVERAGE('1940'!L17,'1941'!L17,'1942'!L17,'1943'!L17,'1944'!L17,'1945'!L17,'1946'!L17,'1947'!L17,'1948'!L17,'1949'!L17,'1950'!L17,'1951'!L17,'1952'!L17,'1953'!L17,'1954'!L17,'1955'!L17,'1956'!L17,'1957'!L17,'1958'!L17,'1959'!L17,'1960'!L17,'1961'!L17,'1962'!L17,'1963'!L17,'1964'!L17,'1965'!L17,'1966'!L17,'1967'!L17,'1968'!L17,'1969'!L17,'1970'!L17,'1971'!L17,'1972'!L17,'1973'!L17,'1974'!L17,'1975'!L17,'1976'!L17,'1977'!L17,'1978'!L17,'1979'!L17,'1980'!L17,'1981'!L17,'1982'!L17,'1983'!L17,'1984'!L17,'1985'!L17,'1986'!L17,'1987'!L17,'1988'!L17,'1989'!L17,'1990'!L17,'1991'!L17,'1992'!L17,'1993'!L17,'1994'!L17,'1995'!L17,'1996'!L17,'1997'!L17,'1998'!L17,'1999'!L17,'2000'!L17,'2001'!L17,'2002'!L17,'2003'!L17,'2004'!L17,'2005'!L17,'2006'!L17,'2007'!L17,'2008'!L17,'2009'!L17,'2010'!L17,'2011'!L17,'2012'!L17,'2013'!L17,'2014'!L17,'2015'!L17,'2016'!L17,'2017'!L17,'2018'!L17,'2019'!L17,'2020'!L17,'2021'!L17,'2022'!L17,'2023'!L17,'2024'!L17,'2025'!L17)</f>
        <v/>
      </c>
      <c r="M17" s="8">
        <f>AVERAGE('1940'!M17,'1941'!M17,'1942'!M17,'1943'!M17,'1944'!M17,'1945'!M17,'1946'!M17,'1947'!M17,'1948'!M17,'1949'!M17,'1950'!M17,'1951'!M17,'1952'!M17,'1953'!M17,'1954'!M17,'1955'!M17,'1956'!M17,'1957'!M17,'1958'!M17,'1959'!M17,'1960'!M17,'1961'!M17,'1962'!M17,'1963'!M17,'1964'!M17,'1965'!M17,'1966'!M17,'1967'!M17,'1968'!M17,'1969'!M17,'1970'!M17,'1971'!M17,'1972'!M17,'1973'!M17,'1974'!M17,'1975'!M17,'1976'!M17,'1977'!M17,'1978'!M17,'1979'!M17,'1980'!M17,'1981'!M17,'1982'!M17,'1983'!M17,'1984'!M17,'1985'!M17,'1986'!M17,'1987'!M17,'1988'!M17,'1989'!M17,'1990'!M17,'1991'!M17,'1992'!M17,'1993'!M17,'1994'!M17,'1995'!M17,'1996'!M17,'1997'!M17,'1998'!M17,'1999'!M17,'2000'!M17,'2001'!M17,'2002'!M17,'2003'!M17,'2004'!M17,'2005'!M17,'2006'!M17,'2007'!M17,'2008'!M17,'2009'!M17,'2010'!M17,'2011'!M17,'2012'!M17,'2013'!M17,'2014'!M17,'2015'!M17,'2016'!M17,'2017'!M17,'2018'!M17,'2019'!M17,'2020'!M17,'2021'!M17,'2022'!M17,'2023'!M17,'2024'!M17,'2025'!M17)</f>
        <v/>
      </c>
      <c r="N17" s="9">
        <f>SUM(B17:M17)</f>
        <v/>
      </c>
    </row>
    <row r="18">
      <c r="A18" s="7" t="inlineStr">
        <is>
          <t>Broj oblačnih dana</t>
        </is>
      </c>
      <c r="B18" s="8">
        <f>AVERAGE('1940'!B18,'1941'!B18,'1942'!B18,'1943'!B18,'1944'!B18,'1945'!B18,'1946'!B18,'1947'!B18,'1948'!B18,'1949'!B18,'1950'!B18,'1951'!B18,'1952'!B18,'1953'!B18,'1954'!B18,'1955'!B18,'1956'!B18,'1957'!B18,'1958'!B18,'1959'!B18,'1960'!B18,'1961'!B18,'1962'!B18,'1963'!B18,'1964'!B18,'1965'!B18,'1966'!B18,'1967'!B18,'1968'!B18,'1969'!B18,'1970'!B18,'1971'!B18,'1972'!B18,'1973'!B18,'1974'!B18,'1975'!B18,'1976'!B18,'1977'!B18,'1978'!B18,'1979'!B18,'1980'!B18,'1981'!B18,'1982'!B18,'1983'!B18,'1984'!B18,'1985'!B18,'1986'!B18,'1987'!B18,'1988'!B18,'1989'!B18,'1990'!B18,'1991'!B18,'1992'!B18,'1993'!B18,'1994'!B18,'1995'!B18,'1996'!B18,'1997'!B18,'1998'!B18,'1999'!B18,'2000'!B18,'2001'!B18,'2002'!B18,'2003'!B18,'2004'!B18,'2005'!B18,'2006'!B18,'2007'!B18,'2008'!B18,'2009'!B18,'2010'!B18,'2011'!B18,'2012'!B18,'2013'!B18,'2014'!B18,'2015'!B18,'2016'!B18,'2017'!B18,'2018'!B18,'2019'!B18,'2020'!B18,'2021'!B18,'2022'!B18,'2023'!B18,'2024'!B18,'2025'!B18)</f>
        <v/>
      </c>
      <c r="C18" s="8">
        <f>AVERAGE('1940'!C18,'1941'!C18,'1942'!C18,'1943'!C18,'1944'!C18,'1945'!C18,'1946'!C18,'1947'!C18,'1948'!C18,'1949'!C18,'1950'!C18,'1951'!C18,'1952'!C18,'1953'!C18,'1954'!C18,'1955'!C18,'1956'!C18,'1957'!C18,'1958'!C18,'1959'!C18,'1960'!C18,'1961'!C18,'1962'!C18,'1963'!C18,'1964'!C18,'1965'!C18,'1966'!C18,'1967'!C18,'1968'!C18,'1969'!C18,'1970'!C18,'1971'!C18,'1972'!C18,'1973'!C18,'1974'!C18,'1975'!C18,'1976'!C18,'1977'!C18,'1978'!C18,'1979'!C18,'1980'!C18,'1981'!C18,'1982'!C18,'1983'!C18,'1984'!C18,'1985'!C18,'1986'!C18,'1987'!C18,'1988'!C18,'1989'!C18,'1990'!C18,'1991'!C18,'1992'!C18,'1993'!C18,'1994'!C18,'1995'!C18,'1996'!C18,'1997'!C18,'1998'!C18,'1999'!C18,'2000'!C18,'2001'!C18,'2002'!C18,'2003'!C18,'2004'!C18,'2005'!C18,'2006'!C18,'2007'!C18,'2008'!C18,'2009'!C18,'2010'!C18,'2011'!C18,'2012'!C18,'2013'!C18,'2014'!C18,'2015'!C18,'2016'!C18,'2017'!C18,'2018'!C18,'2019'!C18,'2020'!C18,'2021'!C18,'2022'!C18,'2023'!C18,'2024'!C18,'2025'!C18)</f>
        <v/>
      </c>
      <c r="D18" s="8">
        <f>AVERAGE('1940'!D18,'1941'!D18,'1942'!D18,'1943'!D18,'1944'!D18,'1945'!D18,'1946'!D18,'1947'!D18,'1948'!D18,'1949'!D18,'1950'!D18,'1951'!D18,'1952'!D18,'1953'!D18,'1954'!D18,'1955'!D18,'1956'!D18,'1957'!D18,'1958'!D18,'1959'!D18,'1960'!D18,'1961'!D18,'1962'!D18,'1963'!D18,'1964'!D18,'1965'!D18,'1966'!D18,'1967'!D18,'1968'!D18,'1969'!D18,'1970'!D18,'1971'!D18,'1972'!D18,'1973'!D18,'1974'!D18,'1975'!D18,'1976'!D18,'1977'!D18,'1978'!D18,'1979'!D18,'1980'!D18,'1981'!D18,'1982'!D18,'1983'!D18,'1984'!D18,'1985'!D18,'1986'!D18,'1987'!D18,'1988'!D18,'1989'!D18,'1990'!D18,'1991'!D18,'1992'!D18,'1993'!D18,'1994'!D18,'1995'!D18,'1996'!D18,'1997'!D18,'1998'!D18,'1999'!D18,'2000'!D18,'2001'!D18,'2002'!D18,'2003'!D18,'2004'!D18,'2005'!D18,'2006'!D18,'2007'!D18,'2008'!D18,'2009'!D18,'2010'!D18,'2011'!D18,'2012'!D18,'2013'!D18,'2014'!D18,'2015'!D18,'2016'!D18,'2017'!D18,'2018'!D18,'2019'!D18,'2020'!D18,'2021'!D18,'2022'!D18,'2023'!D18,'2024'!D18,'2025'!D18)</f>
        <v/>
      </c>
      <c r="E18" s="8">
        <f>AVERAGE('1940'!E18,'1941'!E18,'1942'!E18,'1943'!E18,'1944'!E18,'1945'!E18,'1946'!E18,'1947'!E18,'1948'!E18,'1949'!E18,'1950'!E18,'1951'!E18,'1952'!E18,'1953'!E18,'1954'!E18,'1955'!E18,'1956'!E18,'1957'!E18,'1958'!E18,'1959'!E18,'1960'!E18,'1961'!E18,'1962'!E18,'1963'!E18,'1964'!E18,'1965'!E18,'1966'!E18,'1967'!E18,'1968'!E18,'1969'!E18,'1970'!E18,'1971'!E18,'1972'!E18,'1973'!E18,'1974'!E18,'1975'!E18,'1976'!E18,'1977'!E18,'1978'!E18,'1979'!E18,'1980'!E18,'1981'!E18,'1982'!E18,'1983'!E18,'1984'!E18,'1985'!E18,'1986'!E18,'1987'!E18,'1988'!E18,'1989'!E18,'1990'!E18,'1991'!E18,'1992'!E18,'1993'!E18,'1994'!E18,'1995'!E18,'1996'!E18,'1997'!E18,'1998'!E18,'1999'!E18,'2000'!E18,'2001'!E18,'2002'!E18,'2003'!E18,'2004'!E18,'2005'!E18,'2006'!E18,'2007'!E18,'2008'!E18,'2009'!E18,'2010'!E18,'2011'!E18,'2012'!E18,'2013'!E18,'2014'!E18,'2015'!E18,'2016'!E18,'2017'!E18,'2018'!E18,'2019'!E18,'2020'!E18,'2021'!E18,'2022'!E18,'2023'!E18,'2024'!E18,'2025'!E18)</f>
        <v/>
      </c>
      <c r="F18" s="8">
        <f>AVERAGE('1940'!F18,'1941'!F18,'1942'!F18,'1943'!F18,'1944'!F18,'1945'!F18,'1946'!F18,'1947'!F18,'1948'!F18,'1949'!F18,'1950'!F18,'1951'!F18,'1952'!F18,'1953'!F18,'1954'!F18,'1955'!F18,'1956'!F18,'1957'!F18,'1958'!F18,'1959'!F18,'1960'!F18,'1961'!F18,'1962'!F18,'1963'!F18,'1964'!F18,'1965'!F18,'1966'!F18,'1967'!F18,'1968'!F18,'1969'!F18,'1970'!F18,'1971'!F18,'1972'!F18,'1973'!F18,'1974'!F18,'1975'!F18,'1976'!F18,'1977'!F18,'1978'!F18,'1979'!F18,'1980'!F18,'1981'!F18,'1982'!F18,'1983'!F18,'1984'!F18,'1985'!F18,'1986'!F18,'1987'!F18,'1988'!F18,'1989'!F18,'1990'!F18,'1991'!F18,'1992'!F18,'1993'!F18,'1994'!F18,'1995'!F18,'1996'!F18,'1997'!F18,'1998'!F18,'1999'!F18,'2000'!F18,'2001'!F18,'2002'!F18,'2003'!F18,'2004'!F18,'2005'!F18,'2006'!F18,'2007'!F18,'2008'!F18,'2009'!F18,'2010'!F18,'2011'!F18,'2012'!F18,'2013'!F18,'2014'!F18,'2015'!F18,'2016'!F18,'2017'!F18,'2018'!F18,'2019'!F18,'2020'!F18,'2021'!F18,'2022'!F18,'2023'!F18,'2024'!F18,'2025'!F18)</f>
        <v/>
      </c>
      <c r="G18" s="8">
        <f>AVERAGE('1940'!G18,'1941'!G18,'1942'!G18,'1943'!G18,'1944'!G18,'1945'!G18,'1946'!G18,'1947'!G18,'1948'!G18,'1949'!G18,'1950'!G18,'1951'!G18,'1952'!G18,'1953'!G18,'1954'!G18,'1955'!G18,'1956'!G18,'1957'!G18,'1958'!G18,'1959'!G18,'1960'!G18,'1961'!G18,'1962'!G18,'1963'!G18,'1964'!G18,'1965'!G18,'1966'!G18,'1967'!G18,'1968'!G18,'1969'!G18,'1970'!G18,'1971'!G18,'1972'!G18,'1973'!G18,'1974'!G18,'1975'!G18,'1976'!G18,'1977'!G18,'1978'!G18,'1979'!G18,'1980'!G18,'1981'!G18,'1982'!G18,'1983'!G18,'1984'!G18,'1985'!G18,'1986'!G18,'1987'!G18,'1988'!G18,'1989'!G18,'1990'!G18,'1991'!G18,'1992'!G18,'1993'!G18,'1994'!G18,'1995'!G18,'1996'!G18,'1997'!G18,'1998'!G18,'1999'!G18,'2000'!G18,'2001'!G18,'2002'!G18,'2003'!G18,'2004'!G18,'2005'!G18,'2006'!G18,'2007'!G18,'2008'!G18,'2009'!G18,'2010'!G18,'2011'!G18,'2012'!G18,'2013'!G18,'2014'!G18,'2015'!G18,'2016'!G18,'2017'!G18,'2018'!G18,'2019'!G18,'2020'!G18,'2021'!G18,'2022'!G18,'2023'!G18,'2024'!G18,'2025'!G18)</f>
        <v/>
      </c>
      <c r="H18" s="8">
        <f>AVERAGE('1940'!H18,'1941'!H18,'1942'!H18,'1943'!H18,'1944'!H18,'1945'!H18,'1946'!H18,'1947'!H18,'1948'!H18,'1949'!H18,'1950'!H18,'1951'!H18,'1952'!H18,'1953'!H18,'1954'!H18,'1955'!H18,'1956'!H18,'1957'!H18,'1958'!H18,'1959'!H18,'1960'!H18,'1961'!H18,'1962'!H18,'1963'!H18,'1964'!H18,'1965'!H18,'1966'!H18,'1967'!H18,'1968'!H18,'1969'!H18,'1970'!H18,'1971'!H18,'1972'!H18,'1973'!H18,'1974'!H18,'1975'!H18,'1976'!H18,'1977'!H18,'1978'!H18,'1979'!H18,'1980'!H18,'1981'!H18,'1982'!H18,'1983'!H18,'1984'!H18,'1985'!H18,'1986'!H18,'1987'!H18,'1988'!H18,'1989'!H18,'1990'!H18,'1991'!H18,'1992'!H18,'1993'!H18,'1994'!H18,'1995'!H18,'1996'!H18,'1997'!H18,'1998'!H18,'1999'!H18,'2000'!H18,'2001'!H18,'2002'!H18,'2003'!H18,'2004'!H18,'2005'!H18,'2006'!H18,'2007'!H18,'2008'!H18,'2009'!H18,'2010'!H18,'2011'!H18,'2012'!H18,'2013'!H18,'2014'!H18,'2015'!H18,'2016'!H18,'2017'!H18,'2018'!H18,'2019'!H18,'2020'!H18,'2021'!H18,'2022'!H18,'2023'!H18,'2024'!H18,'2025'!H18)</f>
        <v/>
      </c>
      <c r="I18" s="8">
        <f>AVERAGE('1940'!I18,'1941'!I18,'1942'!I18,'1943'!I18,'1944'!I18,'1945'!I18,'1946'!I18,'1947'!I18,'1948'!I18,'1949'!I18,'1950'!I18,'1951'!I18,'1952'!I18,'1953'!I18,'1954'!I18,'1955'!I18,'1956'!I18,'1957'!I18,'1958'!I18,'1959'!I18,'1960'!I18,'1961'!I18,'1962'!I18,'1963'!I18,'1964'!I18,'1965'!I18,'1966'!I18,'1967'!I18,'1968'!I18,'1969'!I18,'1970'!I18,'1971'!I18,'1972'!I18,'1973'!I18,'1974'!I18,'1975'!I18,'1976'!I18,'1977'!I18,'1978'!I18,'1979'!I18,'1980'!I18,'1981'!I18,'1982'!I18,'1983'!I18,'1984'!I18,'1985'!I18,'1986'!I18,'1987'!I18,'1988'!I18,'1989'!I18,'1990'!I18,'1991'!I18,'1992'!I18,'1993'!I18,'1994'!I18,'1995'!I18,'1996'!I18,'1997'!I18,'1998'!I18,'1999'!I18,'2000'!I18,'2001'!I18,'2002'!I18,'2003'!I18,'2004'!I18,'2005'!I18,'2006'!I18,'2007'!I18,'2008'!I18,'2009'!I18,'2010'!I18,'2011'!I18,'2012'!I18,'2013'!I18,'2014'!I18,'2015'!I18,'2016'!I18,'2017'!I18,'2018'!I18,'2019'!I18,'2020'!I18,'2021'!I18,'2022'!I18,'2023'!I18,'2024'!I18,'2025'!I18)</f>
        <v/>
      </c>
      <c r="J18" s="8">
        <f>AVERAGE('1940'!J18,'1941'!J18,'1942'!J18,'1943'!J18,'1944'!J18,'1945'!J18,'1946'!J18,'1947'!J18,'1948'!J18,'1949'!J18,'1950'!J18,'1951'!J18,'1952'!J18,'1953'!J18,'1954'!J18,'1955'!J18,'1956'!J18,'1957'!J18,'1958'!J18,'1959'!J18,'1960'!J18,'1961'!J18,'1962'!J18,'1963'!J18,'1964'!J18,'1965'!J18,'1966'!J18,'1967'!J18,'1968'!J18,'1969'!J18,'1970'!J18,'1971'!J18,'1972'!J18,'1973'!J18,'1974'!J18,'1975'!J18,'1976'!J18,'1977'!J18,'1978'!J18,'1979'!J18,'1980'!J18,'1981'!J18,'1982'!J18,'1983'!J18,'1984'!J18,'1985'!J18,'1986'!J18,'1987'!J18,'1988'!J18,'1989'!J18,'1990'!J18,'1991'!J18,'1992'!J18,'1993'!J18,'1994'!J18,'1995'!J18,'1996'!J18,'1997'!J18,'1998'!J18,'1999'!J18,'2000'!J18,'2001'!J18,'2002'!J18,'2003'!J18,'2004'!J18,'2005'!J18,'2006'!J18,'2007'!J18,'2008'!J18,'2009'!J18,'2010'!J18,'2011'!J18,'2012'!J18,'2013'!J18,'2014'!J18,'2015'!J18,'2016'!J18,'2017'!J18,'2018'!J18,'2019'!J18,'2020'!J18,'2021'!J18,'2022'!J18,'2023'!J18,'2024'!J18,'2025'!J18)</f>
        <v/>
      </c>
      <c r="K18" s="8">
        <f>AVERAGE('1940'!K18,'1941'!K18,'1942'!K18,'1943'!K18,'1944'!K18,'1945'!K18,'1946'!K18,'1947'!K18,'1948'!K18,'1949'!K18,'1950'!K18,'1951'!K18,'1952'!K18,'1953'!K18,'1954'!K18,'1955'!K18,'1956'!K18,'1957'!K18,'1958'!K18,'1959'!K18,'1960'!K18,'1961'!K18,'1962'!K18,'1963'!K18,'1964'!K18,'1965'!K18,'1966'!K18,'1967'!K18,'1968'!K18,'1969'!K18,'1970'!K18,'1971'!K18,'1972'!K18,'1973'!K18,'1974'!K18,'1975'!K18,'1976'!K18,'1977'!K18,'1978'!K18,'1979'!K18,'1980'!K18,'1981'!K18,'1982'!K18,'1983'!K18,'1984'!K18,'1985'!K18,'1986'!K18,'1987'!K18,'1988'!K18,'1989'!K18,'1990'!K18,'1991'!K18,'1992'!K18,'1993'!K18,'1994'!K18,'1995'!K18,'1996'!K18,'1997'!K18,'1998'!K18,'1999'!K18,'2000'!K18,'2001'!K18,'2002'!K18,'2003'!K18,'2004'!K18,'2005'!K18,'2006'!K18,'2007'!K18,'2008'!K18,'2009'!K18,'2010'!K18,'2011'!K18,'2012'!K18,'2013'!K18,'2014'!K18,'2015'!K18,'2016'!K18,'2017'!K18,'2018'!K18,'2019'!K18,'2020'!K18,'2021'!K18,'2022'!K18,'2023'!K18,'2024'!K18,'2025'!K18)</f>
        <v/>
      </c>
      <c r="L18" s="8">
        <f>AVERAGE('1940'!L18,'1941'!L18,'1942'!L18,'1943'!L18,'1944'!L18,'1945'!L18,'1946'!L18,'1947'!L18,'1948'!L18,'1949'!L18,'1950'!L18,'1951'!L18,'1952'!L18,'1953'!L18,'1954'!L18,'1955'!L18,'1956'!L18,'1957'!L18,'1958'!L18,'1959'!L18,'1960'!L18,'1961'!L18,'1962'!L18,'1963'!L18,'1964'!L18,'1965'!L18,'1966'!L18,'1967'!L18,'1968'!L18,'1969'!L18,'1970'!L18,'1971'!L18,'1972'!L18,'1973'!L18,'1974'!L18,'1975'!L18,'1976'!L18,'1977'!L18,'1978'!L18,'1979'!L18,'1980'!L18,'1981'!L18,'1982'!L18,'1983'!L18,'1984'!L18,'1985'!L18,'1986'!L18,'1987'!L18,'1988'!L18,'1989'!L18,'1990'!L18,'1991'!L18,'1992'!L18,'1993'!L18,'1994'!L18,'1995'!L18,'1996'!L18,'1997'!L18,'1998'!L18,'1999'!L18,'2000'!L18,'2001'!L18,'2002'!L18,'2003'!L18,'2004'!L18,'2005'!L18,'2006'!L18,'2007'!L18,'2008'!L18,'2009'!L18,'2010'!L18,'2011'!L18,'2012'!L18,'2013'!L18,'2014'!L18,'2015'!L18,'2016'!L18,'2017'!L18,'2018'!L18,'2019'!L18,'2020'!L18,'2021'!L18,'2022'!L18,'2023'!L18,'2024'!L18,'2025'!L18)</f>
        <v/>
      </c>
      <c r="M18" s="8">
        <f>AVERAGE('1940'!M18,'1941'!M18,'1942'!M18,'1943'!M18,'1944'!M18,'1945'!M18,'1946'!M18,'1947'!M18,'1948'!M18,'1949'!M18,'1950'!M18,'1951'!M18,'1952'!M18,'1953'!M18,'1954'!M18,'1955'!M18,'1956'!M18,'1957'!M18,'1958'!M18,'1959'!M18,'1960'!M18,'1961'!M18,'1962'!M18,'1963'!M18,'1964'!M18,'1965'!M18,'1966'!M18,'1967'!M18,'1968'!M18,'1969'!M18,'1970'!M18,'1971'!M18,'1972'!M18,'1973'!M18,'1974'!M18,'1975'!M18,'1976'!M18,'1977'!M18,'1978'!M18,'1979'!M18,'1980'!M18,'1981'!M18,'1982'!M18,'1983'!M18,'1984'!M18,'1985'!M18,'1986'!M18,'1987'!M18,'1988'!M18,'1989'!M18,'1990'!M18,'1991'!M18,'1992'!M18,'1993'!M18,'1994'!M18,'1995'!M18,'1996'!M18,'1997'!M18,'1998'!M18,'1999'!M18,'2000'!M18,'2001'!M18,'2002'!M18,'2003'!M18,'2004'!M18,'2005'!M18,'2006'!M18,'2007'!M18,'2008'!M18,'2009'!M18,'2010'!M18,'2011'!M18,'2012'!M18,'2013'!M18,'2014'!M18,'2015'!M18,'2016'!M18,'2017'!M18,'2018'!M18,'2019'!M18,'2020'!M18,'2021'!M18,'2022'!M18,'2023'!M18,'2024'!M18,'2025'!M18)</f>
        <v/>
      </c>
      <c r="N18" s="9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>
        <f>AVERAGE('1940'!B20,'1941'!B20,'1942'!B20,'1943'!B20,'1944'!B20,'1945'!B20,'1946'!B20,'1947'!B20,'1948'!B20,'1949'!B20,'1950'!B20,'1951'!B20,'1952'!B20,'1953'!B20,'1954'!B20,'1955'!B20,'1956'!B20,'1957'!B20,'1958'!B20,'1959'!B20,'1960'!B20,'1961'!B20,'1962'!B20,'1963'!B20,'1964'!B20,'1965'!B20,'1966'!B20,'1967'!B20,'1968'!B20,'1969'!B20,'1970'!B20,'1971'!B20,'1972'!B20,'1973'!B20,'1974'!B20,'1975'!B20,'1976'!B20,'1977'!B20,'1978'!B20,'1979'!B20,'1980'!B20,'1981'!B20,'1982'!B20,'1983'!B20,'1984'!B20,'1985'!B20,'1986'!B20,'1987'!B20,'1988'!B20,'1989'!B20,'1990'!B20,'1991'!B20,'1992'!B20,'1993'!B20,'1994'!B20,'1995'!B20,'1996'!B20,'1997'!B20,'1998'!B20,'1999'!B20,'2000'!B20,'2001'!B20,'2002'!B20,'2003'!B20,'2004'!B20,'2005'!B20,'2006'!B20,'2007'!B20,'2008'!B20,'2009'!B20,'2010'!B20,'2011'!B20,'2012'!B20,'2013'!B20,'2014'!B20,'2015'!B20,'2016'!B20,'2017'!B20,'2018'!B20,'2019'!B20,'2020'!B20,'2021'!B20,'2022'!B20,'2023'!B20,'2024'!B20,'2025'!B20)</f>
        <v/>
      </c>
      <c r="C20" s="8">
        <f>AVERAGE('1940'!C20,'1941'!C20,'1942'!C20,'1943'!C20,'1944'!C20,'1945'!C20,'1946'!C20,'1947'!C20,'1948'!C20,'1949'!C20,'1950'!C20,'1951'!C20,'1952'!C20,'1953'!C20,'1954'!C20,'1955'!C20,'1956'!C20,'1957'!C20,'1958'!C20,'1959'!C20,'1960'!C20,'1961'!C20,'1962'!C20,'1963'!C20,'1964'!C20,'1965'!C20,'1966'!C20,'1967'!C20,'1968'!C20,'1969'!C20,'1970'!C20,'1971'!C20,'1972'!C20,'1973'!C20,'1974'!C20,'1975'!C20,'1976'!C20,'1977'!C20,'1978'!C20,'1979'!C20,'1980'!C20,'1981'!C20,'1982'!C20,'1983'!C20,'1984'!C20,'1985'!C20,'1986'!C20,'1987'!C20,'1988'!C20,'1989'!C20,'1990'!C20,'1991'!C20,'1992'!C20,'1993'!C20,'1994'!C20,'1995'!C20,'1996'!C20,'1997'!C20,'1998'!C20,'1999'!C20,'2000'!C20,'2001'!C20,'2002'!C20,'2003'!C20,'2004'!C20,'2005'!C20,'2006'!C20,'2007'!C20,'2008'!C20,'2009'!C20,'2010'!C20,'2011'!C20,'2012'!C20,'2013'!C20,'2014'!C20,'2015'!C20,'2016'!C20,'2017'!C20,'2018'!C20,'2019'!C20,'2020'!C20,'2021'!C20,'2022'!C20,'2023'!C20,'2024'!C20,'2025'!C20)</f>
        <v/>
      </c>
      <c r="D20" s="8">
        <f>AVERAGE('1940'!D20,'1941'!D20,'1942'!D20,'1943'!D20,'1944'!D20,'1945'!D20,'1946'!D20,'1947'!D20,'1948'!D20,'1949'!D20,'1950'!D20,'1951'!D20,'1952'!D20,'1953'!D20,'1954'!D20,'1955'!D20,'1956'!D20,'1957'!D20,'1958'!D20,'1959'!D20,'1960'!D20,'1961'!D20,'1962'!D20,'1963'!D20,'1964'!D20,'1965'!D20,'1966'!D20,'1967'!D20,'1968'!D20,'1969'!D20,'1970'!D20,'1971'!D20,'1972'!D20,'1973'!D20,'1974'!D20,'1975'!D20,'1976'!D20,'1977'!D20,'1978'!D20,'1979'!D20,'1980'!D20,'1981'!D20,'1982'!D20,'1983'!D20,'1984'!D20,'1985'!D20,'1986'!D20,'1987'!D20,'1988'!D20,'1989'!D20,'1990'!D20,'1991'!D20,'1992'!D20,'1993'!D20,'1994'!D20,'1995'!D20,'1996'!D20,'1997'!D20,'1998'!D20,'1999'!D20,'2000'!D20,'2001'!D20,'2002'!D20,'2003'!D20,'2004'!D20,'2005'!D20,'2006'!D20,'2007'!D20,'2008'!D20,'2009'!D20,'2010'!D20,'2011'!D20,'2012'!D20,'2013'!D20,'2014'!D20,'2015'!D20,'2016'!D20,'2017'!D20,'2018'!D20,'2019'!D20,'2020'!D20,'2021'!D20,'2022'!D20,'2023'!D20,'2024'!D20,'2025'!D20)</f>
        <v/>
      </c>
      <c r="E20" s="8">
        <f>AVERAGE('1940'!E20,'1941'!E20,'1942'!E20,'1943'!E20,'1944'!E20,'1945'!E20,'1946'!E20,'1947'!E20,'1948'!E20,'1949'!E20,'1950'!E20,'1951'!E20,'1952'!E20,'1953'!E20,'1954'!E20,'1955'!E20,'1956'!E20,'1957'!E20,'1958'!E20,'1959'!E20,'1960'!E20,'1961'!E20,'1962'!E20,'1963'!E20,'1964'!E20,'1965'!E20,'1966'!E20,'1967'!E20,'1968'!E20,'1969'!E20,'1970'!E20,'1971'!E20,'1972'!E20,'1973'!E20,'1974'!E20,'1975'!E20,'1976'!E20,'1977'!E20,'1978'!E20,'1979'!E20,'1980'!E20,'1981'!E20,'1982'!E20,'1983'!E20,'1984'!E20,'1985'!E20,'1986'!E20,'1987'!E20,'1988'!E20,'1989'!E20,'1990'!E20,'1991'!E20,'1992'!E20,'1993'!E20,'1994'!E20,'1995'!E20,'1996'!E20,'1997'!E20,'1998'!E20,'1999'!E20,'2000'!E20,'2001'!E20,'2002'!E20,'2003'!E20,'2004'!E20,'2005'!E20,'2006'!E20,'2007'!E20,'2008'!E20,'2009'!E20,'2010'!E20,'2011'!E20,'2012'!E20,'2013'!E20,'2014'!E20,'2015'!E20,'2016'!E20,'2017'!E20,'2018'!E20,'2019'!E20,'2020'!E20,'2021'!E20,'2022'!E20,'2023'!E20,'2024'!E20,'2025'!E20)</f>
        <v/>
      </c>
      <c r="F20" s="8">
        <f>AVERAGE('1940'!F20,'1941'!F20,'1942'!F20,'1943'!F20,'1944'!F20,'1945'!F20,'1946'!F20,'1947'!F20,'1948'!F20,'1949'!F20,'1950'!F20,'1951'!F20,'1952'!F20,'1953'!F20,'1954'!F20,'1955'!F20,'1956'!F20,'1957'!F20,'1958'!F20,'1959'!F20,'1960'!F20,'1961'!F20,'1962'!F20,'1963'!F20,'1964'!F20,'1965'!F20,'1966'!F20,'1967'!F20,'1968'!F20,'1969'!F20,'1970'!F20,'1971'!F20,'1972'!F20,'1973'!F20,'1974'!F20,'1975'!F20,'1976'!F20,'1977'!F20,'1978'!F20,'1979'!F20,'1980'!F20,'1981'!F20,'1982'!F20,'1983'!F20,'1984'!F20,'1985'!F20,'1986'!F20,'1987'!F20,'1988'!F20,'1989'!F20,'1990'!F20,'1991'!F20,'1992'!F20,'1993'!F20,'1994'!F20,'1995'!F20,'1996'!F20,'1997'!F20,'1998'!F20,'1999'!F20,'2000'!F20,'2001'!F20,'2002'!F20,'2003'!F20,'2004'!F20,'2005'!F20,'2006'!F20,'2007'!F20,'2008'!F20,'2009'!F20,'2010'!F20,'2011'!F20,'2012'!F20,'2013'!F20,'2014'!F20,'2015'!F20,'2016'!F20,'2017'!F20,'2018'!F20,'2019'!F20,'2020'!F20,'2021'!F20,'2022'!F20,'2023'!F20,'2024'!F20,'2025'!F20)</f>
        <v/>
      </c>
      <c r="G20" s="8">
        <f>AVERAGE('1940'!G20,'1941'!G20,'1942'!G20,'1943'!G20,'1944'!G20,'1945'!G20,'1946'!G20,'1947'!G20,'1948'!G20,'1949'!G20,'1950'!G20,'1951'!G20,'1952'!G20,'1953'!G20,'1954'!G20,'1955'!G20,'1956'!G20,'1957'!G20,'1958'!G20,'1959'!G20,'1960'!G20,'1961'!G20,'1962'!G20,'1963'!G20,'1964'!G20,'1965'!G20,'1966'!G20,'1967'!G20,'1968'!G20,'1969'!G20,'1970'!G20,'1971'!G20,'1972'!G20,'1973'!G20,'1974'!G20,'1975'!G20,'1976'!G20,'1977'!G20,'1978'!G20,'1979'!G20,'1980'!G20,'1981'!G20,'1982'!G20,'1983'!G20,'1984'!G20,'1985'!G20,'1986'!G20,'1987'!G20,'1988'!G20,'1989'!G20,'1990'!G20,'1991'!G20,'1992'!G20,'1993'!G20,'1994'!G20,'1995'!G20,'1996'!G20,'1997'!G20,'1998'!G20,'1999'!G20,'2000'!G20,'2001'!G20,'2002'!G20,'2003'!G20,'2004'!G20,'2005'!G20,'2006'!G20,'2007'!G20,'2008'!G20,'2009'!G20,'2010'!G20,'2011'!G20,'2012'!G20,'2013'!G20,'2014'!G20,'2015'!G20,'2016'!G20,'2017'!G20,'2018'!G20,'2019'!G20,'2020'!G20,'2021'!G20,'2022'!G20,'2023'!G20,'2024'!G20,'2025'!G20)</f>
        <v/>
      </c>
      <c r="H20" s="8">
        <f>AVERAGE('1940'!H20,'1941'!H20,'1942'!H20,'1943'!H20,'1944'!H20,'1945'!H20,'1946'!H20,'1947'!H20,'1948'!H20,'1949'!H20,'1950'!H20,'1951'!H20,'1952'!H20,'1953'!H20,'1954'!H20,'1955'!H20,'1956'!H20,'1957'!H20,'1958'!H20,'1959'!H20,'1960'!H20,'1961'!H20,'1962'!H20,'1963'!H20,'1964'!H20,'1965'!H20,'1966'!H20,'1967'!H20,'1968'!H20,'1969'!H20,'1970'!H20,'1971'!H20,'1972'!H20,'1973'!H20,'1974'!H20,'1975'!H20,'1976'!H20,'1977'!H20,'1978'!H20,'1979'!H20,'1980'!H20,'1981'!H20,'1982'!H20,'1983'!H20,'1984'!H20,'1985'!H20,'1986'!H20,'1987'!H20,'1988'!H20,'1989'!H20,'1990'!H20,'1991'!H20,'1992'!H20,'1993'!H20,'1994'!H20,'1995'!H20,'1996'!H20,'1997'!H20,'1998'!H20,'1999'!H20,'2000'!H20,'2001'!H20,'2002'!H20,'2003'!H20,'2004'!H20,'2005'!H20,'2006'!H20,'2007'!H20,'2008'!H20,'2009'!H20,'2010'!H20,'2011'!H20,'2012'!H20,'2013'!H20,'2014'!H20,'2015'!H20,'2016'!H20,'2017'!H20,'2018'!H20,'2019'!H20,'2020'!H20,'2021'!H20,'2022'!H20,'2023'!H20,'2024'!H20,'2025'!H20)</f>
        <v/>
      </c>
      <c r="I20" s="8">
        <f>AVERAGE('1940'!I20,'1941'!I20,'1942'!I20,'1943'!I20,'1944'!I20,'1945'!I20,'1946'!I20,'1947'!I20,'1948'!I20,'1949'!I20,'1950'!I20,'1951'!I20,'1952'!I20,'1953'!I20,'1954'!I20,'1955'!I20,'1956'!I20,'1957'!I20,'1958'!I20,'1959'!I20,'1960'!I20,'1961'!I20,'1962'!I20,'1963'!I20,'1964'!I20,'1965'!I20,'1966'!I20,'1967'!I20,'1968'!I20,'1969'!I20,'1970'!I20,'1971'!I20,'1972'!I20,'1973'!I20,'1974'!I20,'1975'!I20,'1976'!I20,'1977'!I20,'1978'!I20,'1979'!I20,'1980'!I20,'1981'!I20,'1982'!I20,'1983'!I20,'1984'!I20,'1985'!I20,'1986'!I20,'1987'!I20,'1988'!I20,'1989'!I20,'1990'!I20,'1991'!I20,'1992'!I20,'1993'!I20,'1994'!I20,'1995'!I20,'1996'!I20,'1997'!I20,'1998'!I20,'1999'!I20,'2000'!I20,'2001'!I20,'2002'!I20,'2003'!I20,'2004'!I20,'2005'!I20,'2006'!I20,'2007'!I20,'2008'!I20,'2009'!I20,'2010'!I20,'2011'!I20,'2012'!I20,'2013'!I20,'2014'!I20,'2015'!I20,'2016'!I20,'2017'!I20,'2018'!I20,'2019'!I20,'2020'!I20,'2021'!I20,'2022'!I20,'2023'!I20,'2024'!I20,'2025'!I20)</f>
        <v/>
      </c>
      <c r="J20" s="8">
        <f>AVERAGE('1940'!J20,'1941'!J20,'1942'!J20,'1943'!J20,'1944'!J20,'1945'!J20,'1946'!J20,'1947'!J20,'1948'!J20,'1949'!J20,'1950'!J20,'1951'!J20,'1952'!J20,'1953'!J20,'1954'!J20,'1955'!J20,'1956'!J20,'1957'!J20,'1958'!J20,'1959'!J20,'1960'!J20,'1961'!J20,'1962'!J20,'1963'!J20,'1964'!J20,'1965'!J20,'1966'!J20,'1967'!J20,'1968'!J20,'1969'!J20,'1970'!J20,'1971'!J20,'1972'!J20,'1973'!J20,'1974'!J20,'1975'!J20,'1976'!J20,'1977'!J20,'1978'!J20,'1979'!J20,'1980'!J20,'1981'!J20,'1982'!J20,'1983'!J20,'1984'!J20,'1985'!J20,'1986'!J20,'1987'!J20,'1988'!J20,'1989'!J20,'1990'!J20,'1991'!J20,'1992'!J20,'1993'!J20,'1994'!J20,'1995'!J20,'1996'!J20,'1997'!J20,'1998'!J20,'1999'!J20,'2000'!J20,'2001'!J20,'2002'!J20,'2003'!J20,'2004'!J20,'2005'!J20,'2006'!J20,'2007'!J20,'2008'!J20,'2009'!J20,'2010'!J20,'2011'!J20,'2012'!J20,'2013'!J20,'2014'!J20,'2015'!J20,'2016'!J20,'2017'!J20,'2018'!J20,'2019'!J20,'2020'!J20,'2021'!J20,'2022'!J20,'2023'!J20,'2024'!J20,'2025'!J20)</f>
        <v/>
      </c>
      <c r="K20" s="8">
        <f>AVERAGE('1940'!K20,'1941'!K20,'1942'!K20,'1943'!K20,'1944'!K20,'1945'!K20,'1946'!K20,'1947'!K20,'1948'!K20,'1949'!K20,'1950'!K20,'1951'!K20,'1952'!K20,'1953'!K20,'1954'!K20,'1955'!K20,'1956'!K20,'1957'!K20,'1958'!K20,'1959'!K20,'1960'!K20,'1961'!K20,'1962'!K20,'1963'!K20,'1964'!K20,'1965'!K20,'1966'!K20,'1967'!K20,'1968'!K20,'1969'!K20,'1970'!K20,'1971'!K20,'1972'!K20,'1973'!K20,'1974'!K20,'1975'!K20,'1976'!K20,'1977'!K20,'1978'!K20,'1979'!K20,'1980'!K20,'1981'!K20,'1982'!K20,'1983'!K20,'1984'!K20,'1985'!K20,'1986'!K20,'1987'!K20,'1988'!K20,'1989'!K20,'1990'!K20,'1991'!K20,'1992'!K20,'1993'!K20,'1994'!K20,'1995'!K20,'1996'!K20,'1997'!K20,'1998'!K20,'1999'!K20,'2000'!K20,'2001'!K20,'2002'!K20,'2003'!K20,'2004'!K20,'2005'!K20,'2006'!K20,'2007'!K20,'2008'!K20,'2009'!K20,'2010'!K20,'2011'!K20,'2012'!K20,'2013'!K20,'2014'!K20,'2015'!K20,'2016'!K20,'2017'!K20,'2018'!K20,'2019'!K20,'2020'!K20,'2021'!K20,'2022'!K20,'2023'!K20,'2024'!K20,'2025'!K20)</f>
        <v/>
      </c>
      <c r="L20" s="8">
        <f>AVERAGE('1940'!L20,'1941'!L20,'1942'!L20,'1943'!L20,'1944'!L20,'1945'!L20,'1946'!L20,'1947'!L20,'1948'!L20,'1949'!L20,'1950'!L20,'1951'!L20,'1952'!L20,'1953'!L20,'1954'!L20,'1955'!L20,'1956'!L20,'1957'!L20,'1958'!L20,'1959'!L20,'1960'!L20,'1961'!L20,'1962'!L20,'1963'!L20,'1964'!L20,'1965'!L20,'1966'!L20,'1967'!L20,'1968'!L20,'1969'!L20,'1970'!L20,'1971'!L20,'1972'!L20,'1973'!L20,'1974'!L20,'1975'!L20,'1976'!L20,'1977'!L20,'1978'!L20,'1979'!L20,'1980'!L20,'1981'!L20,'1982'!L20,'1983'!L20,'1984'!L20,'1985'!L20,'1986'!L20,'1987'!L20,'1988'!L20,'1989'!L20,'1990'!L20,'1991'!L20,'1992'!L20,'1993'!L20,'1994'!L20,'1995'!L20,'1996'!L20,'1997'!L20,'1998'!L20,'1999'!L20,'2000'!L20,'2001'!L20,'2002'!L20,'2003'!L20,'2004'!L20,'2005'!L20,'2006'!L20,'2007'!L20,'2008'!L20,'2009'!L20,'2010'!L20,'2011'!L20,'2012'!L20,'2013'!L20,'2014'!L20,'2015'!L20,'2016'!L20,'2017'!L20,'2018'!L20,'2019'!L20,'2020'!L20,'2021'!L20,'2022'!L20,'2023'!L20,'2024'!L20,'2025'!L20)</f>
        <v/>
      </c>
      <c r="M20" s="8">
        <f>AVERAGE('1940'!M20,'1941'!M20,'1942'!M20,'1943'!M20,'1944'!M20,'1945'!M20,'1946'!M20,'1947'!M20,'1948'!M20,'1949'!M20,'1950'!M20,'1951'!M20,'1952'!M20,'1953'!M20,'1954'!M20,'1955'!M20,'1956'!M20,'1957'!M20,'1958'!M20,'1959'!M20,'1960'!M20,'1961'!M20,'1962'!M20,'1963'!M20,'1964'!M20,'1965'!M20,'1966'!M20,'1967'!M20,'1968'!M20,'1969'!M20,'1970'!M20,'1971'!M20,'1972'!M20,'1973'!M20,'1974'!M20,'1975'!M20,'1976'!M20,'1977'!M20,'1978'!M20,'1979'!M20,'1980'!M20,'1981'!M20,'1982'!M20,'1983'!M20,'1984'!M20,'1985'!M20,'1986'!M20,'1987'!M20,'1988'!M20,'1989'!M20,'1990'!M20,'1991'!M20,'1992'!M20,'1993'!M20,'1994'!M20,'1995'!M20,'1996'!M20,'1997'!M20,'1998'!M20,'1999'!M20,'2000'!M20,'2001'!M20,'2002'!M20,'2003'!M20,'2004'!M20,'2005'!M20,'2006'!M20,'2007'!M20,'2008'!M20,'2009'!M20,'2010'!M20,'2011'!M20,'2012'!M20,'2013'!M20,'2014'!M20,'2015'!M20,'2016'!M20,'2017'!M20,'2018'!M20,'2019'!M20,'2020'!M20,'2021'!M20,'2022'!M20,'2023'!M20,'2024'!M20,'2025'!M20)</f>
        <v/>
      </c>
      <c r="N20" s="9">
        <f>SUM(B20:M20)</f>
        <v/>
      </c>
    </row>
    <row r="21">
      <c r="A21" s="7" t="inlineStr">
        <is>
          <t>Max. dnevna suma</t>
        </is>
      </c>
      <c r="B21" s="8">
        <f>AVERAGE('1940'!B21,'1941'!B21,'1942'!B21,'1943'!B21,'1944'!B21,'1945'!B21,'1946'!B21,'1947'!B21,'1948'!B21,'1949'!B21,'1950'!B21,'1951'!B21,'1952'!B21,'1953'!B21,'1954'!B21,'1955'!B21,'1956'!B21,'1957'!B21,'1958'!B21,'1959'!B21,'1960'!B21,'1961'!B21,'1962'!B21,'1963'!B21,'1964'!B21,'1965'!B21,'1966'!B21,'1967'!B21,'1968'!B21,'1969'!B21,'1970'!B21,'1971'!B21,'1972'!B21,'1973'!B21,'1974'!B21,'1975'!B21,'1976'!B21,'1977'!B21,'1978'!B21,'1979'!B21,'1980'!B21,'1981'!B21,'1982'!B21,'1983'!B21,'1984'!B21,'1985'!B21,'1986'!B21,'1987'!B21,'1988'!B21,'1989'!B21,'1990'!B21,'1991'!B21,'1992'!B21,'1993'!B21,'1994'!B21,'1995'!B21,'1996'!B21,'1997'!B21,'1998'!B21,'1999'!B21,'2000'!B21,'2001'!B21,'2002'!B21,'2003'!B21,'2004'!B21,'2005'!B21,'2006'!B21,'2007'!B21,'2008'!B21,'2009'!B21,'2010'!B21,'2011'!B21,'2012'!B21,'2013'!B21,'2014'!B21,'2015'!B21,'2016'!B21,'2017'!B21,'2018'!B21,'2019'!B21,'2020'!B21,'2021'!B21,'2022'!B21,'2023'!B21,'2024'!B21,'2025'!B21)</f>
        <v/>
      </c>
      <c r="C21" s="8">
        <f>AVERAGE('1940'!C21,'1941'!C21,'1942'!C21,'1943'!C21,'1944'!C21,'1945'!C21,'1946'!C21,'1947'!C21,'1948'!C21,'1949'!C21,'1950'!C21,'1951'!C21,'1952'!C21,'1953'!C21,'1954'!C21,'1955'!C21,'1956'!C21,'1957'!C21,'1958'!C21,'1959'!C21,'1960'!C21,'1961'!C21,'1962'!C21,'1963'!C21,'1964'!C21,'1965'!C21,'1966'!C21,'1967'!C21,'1968'!C21,'1969'!C21,'1970'!C21,'1971'!C21,'1972'!C21,'1973'!C21,'1974'!C21,'1975'!C21,'1976'!C21,'1977'!C21,'1978'!C21,'1979'!C21,'1980'!C21,'1981'!C21,'1982'!C21,'1983'!C21,'1984'!C21,'1985'!C21,'1986'!C21,'1987'!C21,'1988'!C21,'1989'!C21,'1990'!C21,'1991'!C21,'1992'!C21,'1993'!C21,'1994'!C21,'1995'!C21,'1996'!C21,'1997'!C21,'1998'!C21,'1999'!C21,'2000'!C21,'2001'!C21,'2002'!C21,'2003'!C21,'2004'!C21,'2005'!C21,'2006'!C21,'2007'!C21,'2008'!C21,'2009'!C21,'2010'!C21,'2011'!C21,'2012'!C21,'2013'!C21,'2014'!C21,'2015'!C21,'2016'!C21,'2017'!C21,'2018'!C21,'2019'!C21,'2020'!C21,'2021'!C21,'2022'!C21,'2023'!C21,'2024'!C21,'2025'!C21)</f>
        <v/>
      </c>
      <c r="D21" s="8">
        <f>AVERAGE('1940'!D21,'1941'!D21,'1942'!D21,'1943'!D21,'1944'!D21,'1945'!D21,'1946'!D21,'1947'!D21,'1948'!D21,'1949'!D21,'1950'!D21,'1951'!D21,'1952'!D21,'1953'!D21,'1954'!D21,'1955'!D21,'1956'!D21,'1957'!D21,'1958'!D21,'1959'!D21,'1960'!D21,'1961'!D21,'1962'!D21,'1963'!D21,'1964'!D21,'1965'!D21,'1966'!D21,'1967'!D21,'1968'!D21,'1969'!D21,'1970'!D21,'1971'!D21,'1972'!D21,'1973'!D21,'1974'!D21,'1975'!D21,'1976'!D21,'1977'!D21,'1978'!D21,'1979'!D21,'1980'!D21,'1981'!D21,'1982'!D21,'1983'!D21,'1984'!D21,'1985'!D21,'1986'!D21,'1987'!D21,'1988'!D21,'1989'!D21,'1990'!D21,'1991'!D21,'1992'!D21,'1993'!D21,'1994'!D21,'1995'!D21,'1996'!D21,'1997'!D21,'1998'!D21,'1999'!D21,'2000'!D21,'2001'!D21,'2002'!D21,'2003'!D21,'2004'!D21,'2005'!D21,'2006'!D21,'2007'!D21,'2008'!D21,'2009'!D21,'2010'!D21,'2011'!D21,'2012'!D21,'2013'!D21,'2014'!D21,'2015'!D21,'2016'!D21,'2017'!D21,'2018'!D21,'2019'!D21,'2020'!D21,'2021'!D21,'2022'!D21,'2023'!D21,'2024'!D21,'2025'!D21)</f>
        <v/>
      </c>
      <c r="E21" s="8">
        <f>AVERAGE('1940'!E21,'1941'!E21,'1942'!E21,'1943'!E21,'1944'!E21,'1945'!E21,'1946'!E21,'1947'!E21,'1948'!E21,'1949'!E21,'1950'!E21,'1951'!E21,'1952'!E21,'1953'!E21,'1954'!E21,'1955'!E21,'1956'!E21,'1957'!E21,'1958'!E21,'1959'!E21,'1960'!E21,'1961'!E21,'1962'!E21,'1963'!E21,'1964'!E21,'1965'!E21,'1966'!E21,'1967'!E21,'1968'!E21,'1969'!E21,'1970'!E21,'1971'!E21,'1972'!E21,'1973'!E21,'1974'!E21,'1975'!E21,'1976'!E21,'1977'!E21,'1978'!E21,'1979'!E21,'1980'!E21,'1981'!E21,'1982'!E21,'1983'!E21,'1984'!E21,'1985'!E21,'1986'!E21,'1987'!E21,'1988'!E21,'1989'!E21,'1990'!E21,'1991'!E21,'1992'!E21,'1993'!E21,'1994'!E21,'1995'!E21,'1996'!E21,'1997'!E21,'1998'!E21,'1999'!E21,'2000'!E21,'2001'!E21,'2002'!E21,'2003'!E21,'2004'!E21,'2005'!E21,'2006'!E21,'2007'!E21,'2008'!E21,'2009'!E21,'2010'!E21,'2011'!E21,'2012'!E21,'2013'!E21,'2014'!E21,'2015'!E21,'2016'!E21,'2017'!E21,'2018'!E21,'2019'!E21,'2020'!E21,'2021'!E21,'2022'!E21,'2023'!E21,'2024'!E21,'2025'!E21)</f>
        <v/>
      </c>
      <c r="F21" s="8">
        <f>AVERAGE('1940'!F21,'1941'!F21,'1942'!F21,'1943'!F21,'1944'!F21,'1945'!F21,'1946'!F21,'1947'!F21,'1948'!F21,'1949'!F21,'1950'!F21,'1951'!F21,'1952'!F21,'1953'!F21,'1954'!F21,'1955'!F21,'1956'!F21,'1957'!F21,'1958'!F21,'1959'!F21,'1960'!F21,'1961'!F21,'1962'!F21,'1963'!F21,'1964'!F21,'1965'!F21,'1966'!F21,'1967'!F21,'1968'!F21,'1969'!F21,'1970'!F21,'1971'!F21,'1972'!F21,'1973'!F21,'1974'!F21,'1975'!F21,'1976'!F21,'1977'!F21,'1978'!F21,'1979'!F21,'1980'!F21,'1981'!F21,'1982'!F21,'1983'!F21,'1984'!F21,'1985'!F21,'1986'!F21,'1987'!F21,'1988'!F21,'1989'!F21,'1990'!F21,'1991'!F21,'1992'!F21,'1993'!F21,'1994'!F21,'1995'!F21,'1996'!F21,'1997'!F21,'1998'!F21,'1999'!F21,'2000'!F21,'2001'!F21,'2002'!F21,'2003'!F21,'2004'!F21,'2005'!F21,'2006'!F21,'2007'!F21,'2008'!F21,'2009'!F21,'2010'!F21,'2011'!F21,'2012'!F21,'2013'!F21,'2014'!F21,'2015'!F21,'2016'!F21,'2017'!F21,'2018'!F21,'2019'!F21,'2020'!F21,'2021'!F21,'2022'!F21,'2023'!F21,'2024'!F21,'2025'!F21)</f>
        <v/>
      </c>
      <c r="G21" s="8">
        <f>AVERAGE('1940'!G21,'1941'!G21,'1942'!G21,'1943'!G21,'1944'!G21,'1945'!G21,'1946'!G21,'1947'!G21,'1948'!G21,'1949'!G21,'1950'!G21,'1951'!G21,'1952'!G21,'1953'!G21,'1954'!G21,'1955'!G21,'1956'!G21,'1957'!G21,'1958'!G21,'1959'!G21,'1960'!G21,'1961'!G21,'1962'!G21,'1963'!G21,'1964'!G21,'1965'!G21,'1966'!G21,'1967'!G21,'1968'!G21,'1969'!G21,'1970'!G21,'1971'!G21,'1972'!G21,'1973'!G21,'1974'!G21,'1975'!G21,'1976'!G21,'1977'!G21,'1978'!G21,'1979'!G21,'1980'!G21,'1981'!G21,'1982'!G21,'1983'!G21,'1984'!G21,'1985'!G21,'1986'!G21,'1987'!G21,'1988'!G21,'1989'!G21,'1990'!G21,'1991'!G21,'1992'!G21,'1993'!G21,'1994'!G21,'1995'!G21,'1996'!G21,'1997'!G21,'1998'!G21,'1999'!G21,'2000'!G21,'2001'!G21,'2002'!G21,'2003'!G21,'2004'!G21,'2005'!G21,'2006'!G21,'2007'!G21,'2008'!G21,'2009'!G21,'2010'!G21,'2011'!G21,'2012'!G21,'2013'!G21,'2014'!G21,'2015'!G21,'2016'!G21,'2017'!G21,'2018'!G21,'2019'!G21,'2020'!G21,'2021'!G21,'2022'!G21,'2023'!G21,'2024'!G21,'2025'!G21)</f>
        <v/>
      </c>
      <c r="H21" s="8">
        <f>AVERAGE('1940'!H21,'1941'!H21,'1942'!H21,'1943'!H21,'1944'!H21,'1945'!H21,'1946'!H21,'1947'!H21,'1948'!H21,'1949'!H21,'1950'!H21,'1951'!H21,'1952'!H21,'1953'!H21,'1954'!H21,'1955'!H21,'1956'!H21,'1957'!H21,'1958'!H21,'1959'!H21,'1960'!H21,'1961'!H21,'1962'!H21,'1963'!H21,'1964'!H21,'1965'!H21,'1966'!H21,'1967'!H21,'1968'!H21,'1969'!H21,'1970'!H21,'1971'!H21,'1972'!H21,'1973'!H21,'1974'!H21,'1975'!H21,'1976'!H21,'1977'!H21,'1978'!H21,'1979'!H21,'1980'!H21,'1981'!H21,'1982'!H21,'1983'!H21,'1984'!H21,'1985'!H21,'1986'!H21,'1987'!H21,'1988'!H21,'1989'!H21,'1990'!H21,'1991'!H21,'1992'!H21,'1993'!H21,'1994'!H21,'1995'!H21,'1996'!H21,'1997'!H21,'1998'!H21,'1999'!H21,'2000'!H21,'2001'!H21,'2002'!H21,'2003'!H21,'2004'!H21,'2005'!H21,'2006'!H21,'2007'!H21,'2008'!H21,'2009'!H21,'2010'!H21,'2011'!H21,'2012'!H21,'2013'!H21,'2014'!H21,'2015'!H21,'2016'!H21,'2017'!H21,'2018'!H21,'2019'!H21,'2020'!H21,'2021'!H21,'2022'!H21,'2023'!H21,'2024'!H21,'2025'!H21)</f>
        <v/>
      </c>
      <c r="I21" s="8">
        <f>AVERAGE('1940'!I21,'1941'!I21,'1942'!I21,'1943'!I21,'1944'!I21,'1945'!I21,'1946'!I21,'1947'!I21,'1948'!I21,'1949'!I21,'1950'!I21,'1951'!I21,'1952'!I21,'1953'!I21,'1954'!I21,'1955'!I21,'1956'!I21,'1957'!I21,'1958'!I21,'1959'!I21,'1960'!I21,'1961'!I21,'1962'!I21,'1963'!I21,'1964'!I21,'1965'!I21,'1966'!I21,'1967'!I21,'1968'!I21,'1969'!I21,'1970'!I21,'1971'!I21,'1972'!I21,'1973'!I21,'1974'!I21,'1975'!I21,'1976'!I21,'1977'!I21,'1978'!I21,'1979'!I21,'1980'!I21,'1981'!I21,'1982'!I21,'1983'!I21,'1984'!I21,'1985'!I21,'1986'!I21,'1987'!I21,'1988'!I21,'1989'!I21,'1990'!I21,'1991'!I21,'1992'!I21,'1993'!I21,'1994'!I21,'1995'!I21,'1996'!I21,'1997'!I21,'1998'!I21,'1999'!I21,'2000'!I21,'2001'!I21,'2002'!I21,'2003'!I21,'2004'!I21,'2005'!I21,'2006'!I21,'2007'!I21,'2008'!I21,'2009'!I21,'2010'!I21,'2011'!I21,'2012'!I21,'2013'!I21,'2014'!I21,'2015'!I21,'2016'!I21,'2017'!I21,'2018'!I21,'2019'!I21,'2020'!I21,'2021'!I21,'2022'!I21,'2023'!I21,'2024'!I21,'2025'!I21)</f>
        <v/>
      </c>
      <c r="J21" s="8">
        <f>AVERAGE('1940'!J21,'1941'!J21,'1942'!J21,'1943'!J21,'1944'!J21,'1945'!J21,'1946'!J21,'1947'!J21,'1948'!J21,'1949'!J21,'1950'!J21,'1951'!J21,'1952'!J21,'1953'!J21,'1954'!J21,'1955'!J21,'1956'!J21,'1957'!J21,'1958'!J21,'1959'!J21,'1960'!J21,'1961'!J21,'1962'!J21,'1963'!J21,'1964'!J21,'1965'!J21,'1966'!J21,'1967'!J21,'1968'!J21,'1969'!J21,'1970'!J21,'1971'!J21,'1972'!J21,'1973'!J21,'1974'!J21,'1975'!J21,'1976'!J21,'1977'!J21,'1978'!J21,'1979'!J21,'1980'!J21,'1981'!J21,'1982'!J21,'1983'!J21,'1984'!J21,'1985'!J21,'1986'!J21,'1987'!J21,'1988'!J21,'1989'!J21,'1990'!J21,'1991'!J21,'1992'!J21,'1993'!J21,'1994'!J21,'1995'!J21,'1996'!J21,'1997'!J21,'1998'!J21,'1999'!J21,'2000'!J21,'2001'!J21,'2002'!J21,'2003'!J21,'2004'!J21,'2005'!J21,'2006'!J21,'2007'!J21,'2008'!J21,'2009'!J21,'2010'!J21,'2011'!J21,'2012'!J21,'2013'!J21,'2014'!J21,'2015'!J21,'2016'!J21,'2017'!J21,'2018'!J21,'2019'!J21,'2020'!J21,'2021'!J21,'2022'!J21,'2023'!J21,'2024'!J21,'2025'!J21)</f>
        <v/>
      </c>
      <c r="K21" s="8">
        <f>AVERAGE('1940'!K21,'1941'!K21,'1942'!K21,'1943'!K21,'1944'!K21,'1945'!K21,'1946'!K21,'1947'!K21,'1948'!K21,'1949'!K21,'1950'!K21,'1951'!K21,'1952'!K21,'1953'!K21,'1954'!K21,'1955'!K21,'1956'!K21,'1957'!K21,'1958'!K21,'1959'!K21,'1960'!K21,'1961'!K21,'1962'!K21,'1963'!K21,'1964'!K21,'1965'!K21,'1966'!K21,'1967'!K21,'1968'!K21,'1969'!K21,'1970'!K21,'1971'!K21,'1972'!K21,'1973'!K21,'1974'!K21,'1975'!K21,'1976'!K21,'1977'!K21,'1978'!K21,'1979'!K21,'1980'!K21,'1981'!K21,'1982'!K21,'1983'!K21,'1984'!K21,'1985'!K21,'1986'!K21,'1987'!K21,'1988'!K21,'1989'!K21,'1990'!K21,'1991'!K21,'1992'!K21,'1993'!K21,'1994'!K21,'1995'!K21,'1996'!K21,'1997'!K21,'1998'!K21,'1999'!K21,'2000'!K21,'2001'!K21,'2002'!K21,'2003'!K21,'2004'!K21,'2005'!K21,'2006'!K21,'2007'!K21,'2008'!K21,'2009'!K21,'2010'!K21,'2011'!K21,'2012'!K21,'2013'!K21,'2014'!K21,'2015'!K21,'2016'!K21,'2017'!K21,'2018'!K21,'2019'!K21,'2020'!K21,'2021'!K21,'2022'!K21,'2023'!K21,'2024'!K21,'2025'!K21)</f>
        <v/>
      </c>
      <c r="L21" s="8">
        <f>AVERAGE('1940'!L21,'1941'!L21,'1942'!L21,'1943'!L21,'1944'!L21,'1945'!L21,'1946'!L21,'1947'!L21,'1948'!L21,'1949'!L21,'1950'!L21,'1951'!L21,'1952'!L21,'1953'!L21,'1954'!L21,'1955'!L21,'1956'!L21,'1957'!L21,'1958'!L21,'1959'!L21,'1960'!L21,'1961'!L21,'1962'!L21,'1963'!L21,'1964'!L21,'1965'!L21,'1966'!L21,'1967'!L21,'1968'!L21,'1969'!L21,'1970'!L21,'1971'!L21,'1972'!L21,'1973'!L21,'1974'!L21,'1975'!L21,'1976'!L21,'1977'!L21,'1978'!L21,'1979'!L21,'1980'!L21,'1981'!L21,'1982'!L21,'1983'!L21,'1984'!L21,'1985'!L21,'1986'!L21,'1987'!L21,'1988'!L21,'1989'!L21,'1990'!L21,'1991'!L21,'1992'!L21,'1993'!L21,'1994'!L21,'1995'!L21,'1996'!L21,'1997'!L21,'1998'!L21,'1999'!L21,'2000'!L21,'2001'!L21,'2002'!L21,'2003'!L21,'2004'!L21,'2005'!L21,'2006'!L21,'2007'!L21,'2008'!L21,'2009'!L21,'2010'!L21,'2011'!L21,'2012'!L21,'2013'!L21,'2014'!L21,'2015'!L21,'2016'!L21,'2017'!L21,'2018'!L21,'2019'!L21,'2020'!L21,'2021'!L21,'2022'!L21,'2023'!L21,'2024'!L21,'2025'!L21)</f>
        <v/>
      </c>
      <c r="M21" s="8">
        <f>AVERAGE('1940'!M21,'1941'!M21,'1942'!M21,'1943'!M21,'1944'!M21,'1945'!M21,'1946'!M21,'1947'!M21,'1948'!M21,'1949'!M21,'1950'!M21,'1951'!M21,'1952'!M21,'1953'!M21,'1954'!M21,'1955'!M21,'1956'!M21,'1957'!M21,'1958'!M21,'1959'!M21,'1960'!M21,'1961'!M21,'1962'!M21,'1963'!M21,'1964'!M21,'1965'!M21,'1966'!M21,'1967'!M21,'1968'!M21,'1969'!M21,'1970'!M21,'1971'!M21,'1972'!M21,'1973'!M21,'1974'!M21,'1975'!M21,'1976'!M21,'1977'!M21,'1978'!M21,'1979'!M21,'1980'!M21,'1981'!M21,'1982'!M21,'1983'!M21,'1984'!M21,'1985'!M21,'1986'!M21,'1987'!M21,'1988'!M21,'1989'!M21,'1990'!M21,'1991'!M21,'1992'!M21,'1993'!M21,'1994'!M21,'1995'!M21,'1996'!M21,'1997'!M21,'1998'!M21,'1999'!M21,'2000'!M21,'2001'!M21,'2002'!M21,'2003'!M21,'2004'!M21,'2005'!M21,'2006'!M21,'2007'!M21,'2008'!M21,'2009'!M21,'2010'!M21,'2011'!M21,'2012'!M21,'2013'!M21,'2014'!M21,'2015'!M21,'2016'!M21,'2017'!M21,'2018'!M21,'2019'!M21,'2020'!M21,'2021'!M21,'2022'!M21,'2023'!M21,'2024'!M21,'2025'!M21)</f>
        <v/>
      </c>
      <c r="N21" s="9">
        <f>MAX(B21:M21)</f>
        <v/>
      </c>
    </row>
    <row r="22">
      <c r="A22" s="7" t="inlineStr">
        <is>
          <t>Sr. br. dana &gt;= 0.1 mm</t>
        </is>
      </c>
      <c r="B22" s="8">
        <f>AVERAGE('1940'!B22,'1941'!B22,'1942'!B22,'1943'!B22,'1944'!B22,'1945'!B22,'1946'!B22,'1947'!B22,'1948'!B22,'1949'!B22,'1950'!B22,'1951'!B22,'1952'!B22,'1953'!B22,'1954'!B22,'1955'!B22,'1956'!B22,'1957'!B22,'1958'!B22,'1959'!B22,'1960'!B22,'1961'!B22,'1962'!B22,'1963'!B22,'1964'!B22,'1965'!B22,'1966'!B22,'1967'!B22,'1968'!B22,'1969'!B22,'1970'!B22,'1971'!B22,'1972'!B22,'1973'!B22,'1974'!B22,'1975'!B22,'1976'!B22,'1977'!B22,'1978'!B22,'1979'!B22,'1980'!B22,'1981'!B22,'1982'!B22,'1983'!B22,'1984'!B22,'1985'!B22,'1986'!B22,'1987'!B22,'1988'!B22,'1989'!B22,'1990'!B22,'1991'!B22,'1992'!B22,'1993'!B22,'1994'!B22,'1995'!B22,'1996'!B22,'1997'!B22,'1998'!B22,'1999'!B22,'2000'!B22,'2001'!B22,'2002'!B22,'2003'!B22,'2004'!B22,'2005'!B22,'2006'!B22,'2007'!B22,'2008'!B22,'2009'!B22,'2010'!B22,'2011'!B22,'2012'!B22,'2013'!B22,'2014'!B22,'2015'!B22,'2016'!B22,'2017'!B22,'2018'!B22,'2019'!B22,'2020'!B22,'2021'!B22,'2022'!B22,'2023'!B22,'2024'!B22,'2025'!B22)</f>
        <v/>
      </c>
      <c r="C22" s="8">
        <f>AVERAGE('1940'!C22,'1941'!C22,'1942'!C22,'1943'!C22,'1944'!C22,'1945'!C22,'1946'!C22,'1947'!C22,'1948'!C22,'1949'!C22,'1950'!C22,'1951'!C22,'1952'!C22,'1953'!C22,'1954'!C22,'1955'!C22,'1956'!C22,'1957'!C22,'1958'!C22,'1959'!C22,'1960'!C22,'1961'!C22,'1962'!C22,'1963'!C22,'1964'!C22,'1965'!C22,'1966'!C22,'1967'!C22,'1968'!C22,'1969'!C22,'1970'!C22,'1971'!C22,'1972'!C22,'1973'!C22,'1974'!C22,'1975'!C22,'1976'!C22,'1977'!C22,'1978'!C22,'1979'!C22,'1980'!C22,'1981'!C22,'1982'!C22,'1983'!C22,'1984'!C22,'1985'!C22,'1986'!C22,'1987'!C22,'1988'!C22,'1989'!C22,'1990'!C22,'1991'!C22,'1992'!C22,'1993'!C22,'1994'!C22,'1995'!C22,'1996'!C22,'1997'!C22,'1998'!C22,'1999'!C22,'2000'!C22,'2001'!C22,'2002'!C22,'2003'!C22,'2004'!C22,'2005'!C22,'2006'!C22,'2007'!C22,'2008'!C22,'2009'!C22,'2010'!C22,'2011'!C22,'2012'!C22,'2013'!C22,'2014'!C22,'2015'!C22,'2016'!C22,'2017'!C22,'2018'!C22,'2019'!C22,'2020'!C22,'2021'!C22,'2022'!C22,'2023'!C22,'2024'!C22,'2025'!C22)</f>
        <v/>
      </c>
      <c r="D22" s="8">
        <f>AVERAGE('1940'!D22,'1941'!D22,'1942'!D22,'1943'!D22,'1944'!D22,'1945'!D22,'1946'!D22,'1947'!D22,'1948'!D22,'1949'!D22,'1950'!D22,'1951'!D22,'1952'!D22,'1953'!D22,'1954'!D22,'1955'!D22,'1956'!D22,'1957'!D22,'1958'!D22,'1959'!D22,'1960'!D22,'1961'!D22,'1962'!D22,'1963'!D22,'1964'!D22,'1965'!D22,'1966'!D22,'1967'!D22,'1968'!D22,'1969'!D22,'1970'!D22,'1971'!D22,'1972'!D22,'1973'!D22,'1974'!D22,'1975'!D22,'1976'!D22,'1977'!D22,'1978'!D22,'1979'!D22,'1980'!D22,'1981'!D22,'1982'!D22,'1983'!D22,'1984'!D22,'1985'!D22,'1986'!D22,'1987'!D22,'1988'!D22,'1989'!D22,'1990'!D22,'1991'!D22,'1992'!D22,'1993'!D22,'1994'!D22,'1995'!D22,'1996'!D22,'1997'!D22,'1998'!D22,'1999'!D22,'2000'!D22,'2001'!D22,'2002'!D22,'2003'!D22,'2004'!D22,'2005'!D22,'2006'!D22,'2007'!D22,'2008'!D22,'2009'!D22,'2010'!D22,'2011'!D22,'2012'!D22,'2013'!D22,'2014'!D22,'2015'!D22,'2016'!D22,'2017'!D22,'2018'!D22,'2019'!D22,'2020'!D22,'2021'!D22,'2022'!D22,'2023'!D22,'2024'!D22,'2025'!D22)</f>
        <v/>
      </c>
      <c r="E22" s="8">
        <f>AVERAGE('1940'!E22,'1941'!E22,'1942'!E22,'1943'!E22,'1944'!E22,'1945'!E22,'1946'!E22,'1947'!E22,'1948'!E22,'1949'!E22,'1950'!E22,'1951'!E22,'1952'!E22,'1953'!E22,'1954'!E22,'1955'!E22,'1956'!E22,'1957'!E22,'1958'!E22,'1959'!E22,'1960'!E22,'1961'!E22,'1962'!E22,'1963'!E22,'1964'!E22,'1965'!E22,'1966'!E22,'1967'!E22,'1968'!E22,'1969'!E22,'1970'!E22,'1971'!E22,'1972'!E22,'1973'!E22,'1974'!E22,'1975'!E22,'1976'!E22,'1977'!E22,'1978'!E22,'1979'!E22,'1980'!E22,'1981'!E22,'1982'!E22,'1983'!E22,'1984'!E22,'1985'!E22,'1986'!E22,'1987'!E22,'1988'!E22,'1989'!E22,'1990'!E22,'1991'!E22,'1992'!E22,'1993'!E22,'1994'!E22,'1995'!E22,'1996'!E22,'1997'!E22,'1998'!E22,'1999'!E22,'2000'!E22,'2001'!E22,'2002'!E22,'2003'!E22,'2004'!E22,'2005'!E22,'2006'!E22,'2007'!E22,'2008'!E22,'2009'!E22,'2010'!E22,'2011'!E22,'2012'!E22,'2013'!E22,'2014'!E22,'2015'!E22,'2016'!E22,'2017'!E22,'2018'!E22,'2019'!E22,'2020'!E22,'2021'!E22,'2022'!E22,'2023'!E22,'2024'!E22,'2025'!E22)</f>
        <v/>
      </c>
      <c r="F22" s="8">
        <f>AVERAGE('1940'!F22,'1941'!F22,'1942'!F22,'1943'!F22,'1944'!F22,'1945'!F22,'1946'!F22,'1947'!F22,'1948'!F22,'1949'!F22,'1950'!F22,'1951'!F22,'1952'!F22,'1953'!F22,'1954'!F22,'1955'!F22,'1956'!F22,'1957'!F22,'1958'!F22,'1959'!F22,'1960'!F22,'1961'!F22,'1962'!F22,'1963'!F22,'1964'!F22,'1965'!F22,'1966'!F22,'1967'!F22,'1968'!F22,'1969'!F22,'1970'!F22,'1971'!F22,'1972'!F22,'1973'!F22,'1974'!F22,'1975'!F22,'1976'!F22,'1977'!F22,'1978'!F22,'1979'!F22,'1980'!F22,'1981'!F22,'1982'!F22,'1983'!F22,'1984'!F22,'1985'!F22,'1986'!F22,'1987'!F22,'1988'!F22,'1989'!F22,'1990'!F22,'1991'!F22,'1992'!F22,'1993'!F22,'1994'!F22,'1995'!F22,'1996'!F22,'1997'!F22,'1998'!F22,'1999'!F22,'2000'!F22,'2001'!F22,'2002'!F22,'2003'!F22,'2004'!F22,'2005'!F22,'2006'!F22,'2007'!F22,'2008'!F22,'2009'!F22,'2010'!F22,'2011'!F22,'2012'!F22,'2013'!F22,'2014'!F22,'2015'!F22,'2016'!F22,'2017'!F22,'2018'!F22,'2019'!F22,'2020'!F22,'2021'!F22,'2022'!F22,'2023'!F22,'2024'!F22,'2025'!F22)</f>
        <v/>
      </c>
      <c r="G22" s="8">
        <f>AVERAGE('1940'!G22,'1941'!G22,'1942'!G22,'1943'!G22,'1944'!G22,'1945'!G22,'1946'!G22,'1947'!G22,'1948'!G22,'1949'!G22,'1950'!G22,'1951'!G22,'1952'!G22,'1953'!G22,'1954'!G22,'1955'!G22,'1956'!G22,'1957'!G22,'1958'!G22,'1959'!G22,'1960'!G22,'1961'!G22,'1962'!G22,'1963'!G22,'1964'!G22,'1965'!G22,'1966'!G22,'1967'!G22,'1968'!G22,'1969'!G22,'1970'!G22,'1971'!G22,'1972'!G22,'1973'!G22,'1974'!G22,'1975'!G22,'1976'!G22,'1977'!G22,'1978'!G22,'1979'!G22,'1980'!G22,'1981'!G22,'1982'!G22,'1983'!G22,'1984'!G22,'1985'!G22,'1986'!G22,'1987'!G22,'1988'!G22,'1989'!G22,'1990'!G22,'1991'!G22,'1992'!G22,'1993'!G22,'1994'!G22,'1995'!G22,'1996'!G22,'1997'!G22,'1998'!G22,'1999'!G22,'2000'!G22,'2001'!G22,'2002'!G22,'2003'!G22,'2004'!G22,'2005'!G22,'2006'!G22,'2007'!G22,'2008'!G22,'2009'!G22,'2010'!G22,'2011'!G22,'2012'!G22,'2013'!G22,'2014'!G22,'2015'!G22,'2016'!G22,'2017'!G22,'2018'!G22,'2019'!G22,'2020'!G22,'2021'!G22,'2022'!G22,'2023'!G22,'2024'!G22,'2025'!G22)</f>
        <v/>
      </c>
      <c r="H22" s="8">
        <f>AVERAGE('1940'!H22,'1941'!H22,'1942'!H22,'1943'!H22,'1944'!H22,'1945'!H22,'1946'!H22,'1947'!H22,'1948'!H22,'1949'!H22,'1950'!H22,'1951'!H22,'1952'!H22,'1953'!H22,'1954'!H22,'1955'!H22,'1956'!H22,'1957'!H22,'1958'!H22,'1959'!H22,'1960'!H22,'1961'!H22,'1962'!H22,'1963'!H22,'1964'!H22,'1965'!H22,'1966'!H22,'1967'!H22,'1968'!H22,'1969'!H22,'1970'!H22,'1971'!H22,'1972'!H22,'1973'!H22,'1974'!H22,'1975'!H22,'1976'!H22,'1977'!H22,'1978'!H22,'1979'!H22,'1980'!H22,'1981'!H22,'1982'!H22,'1983'!H22,'1984'!H22,'1985'!H22,'1986'!H22,'1987'!H22,'1988'!H22,'1989'!H22,'1990'!H22,'1991'!H22,'1992'!H22,'1993'!H22,'1994'!H22,'1995'!H22,'1996'!H22,'1997'!H22,'1998'!H22,'1999'!H22,'2000'!H22,'2001'!H22,'2002'!H22,'2003'!H22,'2004'!H22,'2005'!H22,'2006'!H22,'2007'!H22,'2008'!H22,'2009'!H22,'2010'!H22,'2011'!H22,'2012'!H22,'2013'!H22,'2014'!H22,'2015'!H22,'2016'!H22,'2017'!H22,'2018'!H22,'2019'!H22,'2020'!H22,'2021'!H22,'2022'!H22,'2023'!H22,'2024'!H22,'2025'!H22)</f>
        <v/>
      </c>
      <c r="I22" s="8">
        <f>AVERAGE('1940'!I22,'1941'!I22,'1942'!I22,'1943'!I22,'1944'!I22,'1945'!I22,'1946'!I22,'1947'!I22,'1948'!I22,'1949'!I22,'1950'!I22,'1951'!I22,'1952'!I22,'1953'!I22,'1954'!I22,'1955'!I22,'1956'!I22,'1957'!I22,'1958'!I22,'1959'!I22,'1960'!I22,'1961'!I22,'1962'!I22,'1963'!I22,'1964'!I22,'1965'!I22,'1966'!I22,'1967'!I22,'1968'!I22,'1969'!I22,'1970'!I22,'1971'!I22,'1972'!I22,'1973'!I22,'1974'!I22,'1975'!I22,'1976'!I22,'1977'!I22,'1978'!I22,'1979'!I22,'1980'!I22,'1981'!I22,'1982'!I22,'1983'!I22,'1984'!I22,'1985'!I22,'1986'!I22,'1987'!I22,'1988'!I22,'1989'!I22,'1990'!I22,'1991'!I22,'1992'!I22,'1993'!I22,'1994'!I22,'1995'!I22,'1996'!I22,'1997'!I22,'1998'!I22,'1999'!I22,'2000'!I22,'2001'!I22,'2002'!I22,'2003'!I22,'2004'!I22,'2005'!I22,'2006'!I22,'2007'!I22,'2008'!I22,'2009'!I22,'2010'!I22,'2011'!I22,'2012'!I22,'2013'!I22,'2014'!I22,'2015'!I22,'2016'!I22,'2017'!I22,'2018'!I22,'2019'!I22,'2020'!I22,'2021'!I22,'2022'!I22,'2023'!I22,'2024'!I22,'2025'!I22)</f>
        <v/>
      </c>
      <c r="J22" s="8">
        <f>AVERAGE('1940'!J22,'1941'!J22,'1942'!J22,'1943'!J22,'1944'!J22,'1945'!J22,'1946'!J22,'1947'!J22,'1948'!J22,'1949'!J22,'1950'!J22,'1951'!J22,'1952'!J22,'1953'!J22,'1954'!J22,'1955'!J22,'1956'!J22,'1957'!J22,'1958'!J22,'1959'!J22,'1960'!J22,'1961'!J22,'1962'!J22,'1963'!J22,'1964'!J22,'1965'!J22,'1966'!J22,'1967'!J22,'1968'!J22,'1969'!J22,'1970'!J22,'1971'!J22,'1972'!J22,'1973'!J22,'1974'!J22,'1975'!J22,'1976'!J22,'1977'!J22,'1978'!J22,'1979'!J22,'1980'!J22,'1981'!J22,'1982'!J22,'1983'!J22,'1984'!J22,'1985'!J22,'1986'!J22,'1987'!J22,'1988'!J22,'1989'!J22,'1990'!J22,'1991'!J22,'1992'!J22,'1993'!J22,'1994'!J22,'1995'!J22,'1996'!J22,'1997'!J22,'1998'!J22,'1999'!J22,'2000'!J22,'2001'!J22,'2002'!J22,'2003'!J22,'2004'!J22,'2005'!J22,'2006'!J22,'2007'!J22,'2008'!J22,'2009'!J22,'2010'!J22,'2011'!J22,'2012'!J22,'2013'!J22,'2014'!J22,'2015'!J22,'2016'!J22,'2017'!J22,'2018'!J22,'2019'!J22,'2020'!J22,'2021'!J22,'2022'!J22,'2023'!J22,'2024'!J22,'2025'!J22)</f>
        <v/>
      </c>
      <c r="K22" s="8">
        <f>AVERAGE('1940'!K22,'1941'!K22,'1942'!K22,'1943'!K22,'1944'!K22,'1945'!K22,'1946'!K22,'1947'!K22,'1948'!K22,'1949'!K22,'1950'!K22,'1951'!K22,'1952'!K22,'1953'!K22,'1954'!K22,'1955'!K22,'1956'!K22,'1957'!K22,'1958'!K22,'1959'!K22,'1960'!K22,'1961'!K22,'1962'!K22,'1963'!K22,'1964'!K22,'1965'!K22,'1966'!K22,'1967'!K22,'1968'!K22,'1969'!K22,'1970'!K22,'1971'!K22,'1972'!K22,'1973'!K22,'1974'!K22,'1975'!K22,'1976'!K22,'1977'!K22,'1978'!K22,'1979'!K22,'1980'!K22,'1981'!K22,'1982'!K22,'1983'!K22,'1984'!K22,'1985'!K22,'1986'!K22,'1987'!K22,'1988'!K22,'1989'!K22,'1990'!K22,'1991'!K22,'1992'!K22,'1993'!K22,'1994'!K22,'1995'!K22,'1996'!K22,'1997'!K22,'1998'!K22,'1999'!K22,'2000'!K22,'2001'!K22,'2002'!K22,'2003'!K22,'2004'!K22,'2005'!K22,'2006'!K22,'2007'!K22,'2008'!K22,'2009'!K22,'2010'!K22,'2011'!K22,'2012'!K22,'2013'!K22,'2014'!K22,'2015'!K22,'2016'!K22,'2017'!K22,'2018'!K22,'2019'!K22,'2020'!K22,'2021'!K22,'2022'!K22,'2023'!K22,'2024'!K22,'2025'!K22)</f>
        <v/>
      </c>
      <c r="L22" s="8">
        <f>AVERAGE('1940'!L22,'1941'!L22,'1942'!L22,'1943'!L22,'1944'!L22,'1945'!L22,'1946'!L22,'1947'!L22,'1948'!L22,'1949'!L22,'1950'!L22,'1951'!L22,'1952'!L22,'1953'!L22,'1954'!L22,'1955'!L22,'1956'!L22,'1957'!L22,'1958'!L22,'1959'!L22,'1960'!L22,'1961'!L22,'1962'!L22,'1963'!L22,'1964'!L22,'1965'!L22,'1966'!L22,'1967'!L22,'1968'!L22,'1969'!L22,'1970'!L22,'1971'!L22,'1972'!L22,'1973'!L22,'1974'!L22,'1975'!L22,'1976'!L22,'1977'!L22,'1978'!L22,'1979'!L22,'1980'!L22,'1981'!L22,'1982'!L22,'1983'!L22,'1984'!L22,'1985'!L22,'1986'!L22,'1987'!L22,'1988'!L22,'1989'!L22,'1990'!L22,'1991'!L22,'1992'!L22,'1993'!L22,'1994'!L22,'1995'!L22,'1996'!L22,'1997'!L22,'1998'!L22,'1999'!L22,'2000'!L22,'2001'!L22,'2002'!L22,'2003'!L22,'2004'!L22,'2005'!L22,'2006'!L22,'2007'!L22,'2008'!L22,'2009'!L22,'2010'!L22,'2011'!L22,'2012'!L22,'2013'!L22,'2014'!L22,'2015'!L22,'2016'!L22,'2017'!L22,'2018'!L22,'2019'!L22,'2020'!L22,'2021'!L22,'2022'!L22,'2023'!L22,'2024'!L22,'2025'!L22)</f>
        <v/>
      </c>
      <c r="M22" s="8">
        <f>AVERAGE('1940'!M22,'1941'!M22,'1942'!M22,'1943'!M22,'1944'!M22,'1945'!M22,'1946'!M22,'1947'!M22,'1948'!M22,'1949'!M22,'1950'!M22,'1951'!M22,'1952'!M22,'1953'!M22,'1954'!M22,'1955'!M22,'1956'!M22,'1957'!M22,'1958'!M22,'1959'!M22,'1960'!M22,'1961'!M22,'1962'!M22,'1963'!M22,'1964'!M22,'1965'!M22,'1966'!M22,'1967'!M22,'1968'!M22,'1969'!M22,'1970'!M22,'1971'!M22,'1972'!M22,'1973'!M22,'1974'!M22,'1975'!M22,'1976'!M22,'1977'!M22,'1978'!M22,'1979'!M22,'1980'!M22,'1981'!M22,'1982'!M22,'1983'!M22,'1984'!M22,'1985'!M22,'1986'!M22,'1987'!M22,'1988'!M22,'1989'!M22,'1990'!M22,'1991'!M22,'1992'!M22,'1993'!M22,'1994'!M22,'1995'!M22,'1996'!M22,'1997'!M22,'1998'!M22,'1999'!M22,'2000'!M22,'2001'!M22,'2002'!M22,'2003'!M22,'2004'!M22,'2005'!M22,'2006'!M22,'2007'!M22,'2008'!M22,'2009'!M22,'2010'!M22,'2011'!M22,'2012'!M22,'2013'!M22,'2014'!M22,'2015'!M22,'2016'!M22,'2017'!M22,'2018'!M22,'2019'!M22,'2020'!M22,'2021'!M22,'2022'!M22,'2023'!M22,'2024'!M22,'2025'!M22)</f>
        <v/>
      </c>
      <c r="N22" s="9">
        <f>SUM(B22:M22)</f>
        <v/>
      </c>
    </row>
    <row r="23">
      <c r="A23" s="7" t="inlineStr">
        <is>
          <t>Sr. br. dana &gt;= 10.0 mm</t>
        </is>
      </c>
      <c r="B23" s="8">
        <f>AVERAGE('1940'!B23,'1941'!B23,'1942'!B23,'1943'!B23,'1944'!B23,'1945'!B23,'1946'!B23,'1947'!B23,'1948'!B23,'1949'!B23,'1950'!B23,'1951'!B23,'1952'!B23,'1953'!B23,'1954'!B23,'1955'!B23,'1956'!B23,'1957'!B23,'1958'!B23,'1959'!B23,'1960'!B23,'1961'!B23,'1962'!B23,'1963'!B23,'1964'!B23,'1965'!B23,'1966'!B23,'1967'!B23,'1968'!B23,'1969'!B23,'1970'!B23,'1971'!B23,'1972'!B23,'1973'!B23,'1974'!B23,'1975'!B23,'1976'!B23,'1977'!B23,'1978'!B23,'1979'!B23,'1980'!B23,'1981'!B23,'1982'!B23,'1983'!B23,'1984'!B23,'1985'!B23,'1986'!B23,'1987'!B23,'1988'!B23,'1989'!B23,'1990'!B23,'1991'!B23,'1992'!B23,'1993'!B23,'1994'!B23,'1995'!B23,'1996'!B23,'1997'!B23,'1998'!B23,'1999'!B23,'2000'!B23,'2001'!B23,'2002'!B23,'2003'!B23,'2004'!B23,'2005'!B23,'2006'!B23,'2007'!B23,'2008'!B23,'2009'!B23,'2010'!B23,'2011'!B23,'2012'!B23,'2013'!B23,'2014'!B23,'2015'!B23,'2016'!B23,'2017'!B23,'2018'!B23,'2019'!B23,'2020'!B23,'2021'!B23,'2022'!B23,'2023'!B23,'2024'!B23,'2025'!B23)</f>
        <v/>
      </c>
      <c r="C23" s="8">
        <f>AVERAGE('1940'!C23,'1941'!C23,'1942'!C23,'1943'!C23,'1944'!C23,'1945'!C23,'1946'!C23,'1947'!C23,'1948'!C23,'1949'!C23,'1950'!C23,'1951'!C23,'1952'!C23,'1953'!C23,'1954'!C23,'1955'!C23,'1956'!C23,'1957'!C23,'1958'!C23,'1959'!C23,'1960'!C23,'1961'!C23,'1962'!C23,'1963'!C23,'1964'!C23,'1965'!C23,'1966'!C23,'1967'!C23,'1968'!C23,'1969'!C23,'1970'!C23,'1971'!C23,'1972'!C23,'1973'!C23,'1974'!C23,'1975'!C23,'1976'!C23,'1977'!C23,'1978'!C23,'1979'!C23,'1980'!C23,'1981'!C23,'1982'!C23,'1983'!C23,'1984'!C23,'1985'!C23,'1986'!C23,'1987'!C23,'1988'!C23,'1989'!C23,'1990'!C23,'1991'!C23,'1992'!C23,'1993'!C23,'1994'!C23,'1995'!C23,'1996'!C23,'1997'!C23,'1998'!C23,'1999'!C23,'2000'!C23,'2001'!C23,'2002'!C23,'2003'!C23,'2004'!C23,'2005'!C23,'2006'!C23,'2007'!C23,'2008'!C23,'2009'!C23,'2010'!C23,'2011'!C23,'2012'!C23,'2013'!C23,'2014'!C23,'2015'!C23,'2016'!C23,'2017'!C23,'2018'!C23,'2019'!C23,'2020'!C23,'2021'!C23,'2022'!C23,'2023'!C23,'2024'!C23,'2025'!C23)</f>
        <v/>
      </c>
      <c r="D23" s="8">
        <f>AVERAGE('1940'!D23,'1941'!D23,'1942'!D23,'1943'!D23,'1944'!D23,'1945'!D23,'1946'!D23,'1947'!D23,'1948'!D23,'1949'!D23,'1950'!D23,'1951'!D23,'1952'!D23,'1953'!D23,'1954'!D23,'1955'!D23,'1956'!D23,'1957'!D23,'1958'!D23,'1959'!D23,'1960'!D23,'1961'!D23,'1962'!D23,'1963'!D23,'1964'!D23,'1965'!D23,'1966'!D23,'1967'!D23,'1968'!D23,'1969'!D23,'1970'!D23,'1971'!D23,'1972'!D23,'1973'!D23,'1974'!D23,'1975'!D23,'1976'!D23,'1977'!D23,'1978'!D23,'1979'!D23,'1980'!D23,'1981'!D23,'1982'!D23,'1983'!D23,'1984'!D23,'1985'!D23,'1986'!D23,'1987'!D23,'1988'!D23,'1989'!D23,'1990'!D23,'1991'!D23,'1992'!D23,'1993'!D23,'1994'!D23,'1995'!D23,'1996'!D23,'1997'!D23,'1998'!D23,'1999'!D23,'2000'!D23,'2001'!D23,'2002'!D23,'2003'!D23,'2004'!D23,'2005'!D23,'2006'!D23,'2007'!D23,'2008'!D23,'2009'!D23,'2010'!D23,'2011'!D23,'2012'!D23,'2013'!D23,'2014'!D23,'2015'!D23,'2016'!D23,'2017'!D23,'2018'!D23,'2019'!D23,'2020'!D23,'2021'!D23,'2022'!D23,'2023'!D23,'2024'!D23,'2025'!D23)</f>
        <v/>
      </c>
      <c r="E23" s="8">
        <f>AVERAGE('1940'!E23,'1941'!E23,'1942'!E23,'1943'!E23,'1944'!E23,'1945'!E23,'1946'!E23,'1947'!E23,'1948'!E23,'1949'!E23,'1950'!E23,'1951'!E23,'1952'!E23,'1953'!E23,'1954'!E23,'1955'!E23,'1956'!E23,'1957'!E23,'1958'!E23,'1959'!E23,'1960'!E23,'1961'!E23,'1962'!E23,'1963'!E23,'1964'!E23,'1965'!E23,'1966'!E23,'1967'!E23,'1968'!E23,'1969'!E23,'1970'!E23,'1971'!E23,'1972'!E23,'1973'!E23,'1974'!E23,'1975'!E23,'1976'!E23,'1977'!E23,'1978'!E23,'1979'!E23,'1980'!E23,'1981'!E23,'1982'!E23,'1983'!E23,'1984'!E23,'1985'!E23,'1986'!E23,'1987'!E23,'1988'!E23,'1989'!E23,'1990'!E23,'1991'!E23,'1992'!E23,'1993'!E23,'1994'!E23,'1995'!E23,'1996'!E23,'1997'!E23,'1998'!E23,'1999'!E23,'2000'!E23,'2001'!E23,'2002'!E23,'2003'!E23,'2004'!E23,'2005'!E23,'2006'!E23,'2007'!E23,'2008'!E23,'2009'!E23,'2010'!E23,'2011'!E23,'2012'!E23,'2013'!E23,'2014'!E23,'2015'!E23,'2016'!E23,'2017'!E23,'2018'!E23,'2019'!E23,'2020'!E23,'2021'!E23,'2022'!E23,'2023'!E23,'2024'!E23,'2025'!E23)</f>
        <v/>
      </c>
      <c r="F23" s="8">
        <f>AVERAGE('1940'!F23,'1941'!F23,'1942'!F23,'1943'!F23,'1944'!F23,'1945'!F23,'1946'!F23,'1947'!F23,'1948'!F23,'1949'!F23,'1950'!F23,'1951'!F23,'1952'!F23,'1953'!F23,'1954'!F23,'1955'!F23,'1956'!F23,'1957'!F23,'1958'!F23,'1959'!F23,'1960'!F23,'1961'!F23,'1962'!F23,'1963'!F23,'1964'!F23,'1965'!F23,'1966'!F23,'1967'!F23,'1968'!F23,'1969'!F23,'1970'!F23,'1971'!F23,'1972'!F23,'1973'!F23,'1974'!F23,'1975'!F23,'1976'!F23,'1977'!F23,'1978'!F23,'1979'!F23,'1980'!F23,'1981'!F23,'1982'!F23,'1983'!F23,'1984'!F23,'1985'!F23,'1986'!F23,'1987'!F23,'1988'!F23,'1989'!F23,'1990'!F23,'1991'!F23,'1992'!F23,'1993'!F23,'1994'!F23,'1995'!F23,'1996'!F23,'1997'!F23,'1998'!F23,'1999'!F23,'2000'!F23,'2001'!F23,'2002'!F23,'2003'!F23,'2004'!F23,'2005'!F23,'2006'!F23,'2007'!F23,'2008'!F23,'2009'!F23,'2010'!F23,'2011'!F23,'2012'!F23,'2013'!F23,'2014'!F23,'2015'!F23,'2016'!F23,'2017'!F23,'2018'!F23,'2019'!F23,'2020'!F23,'2021'!F23,'2022'!F23,'2023'!F23,'2024'!F23,'2025'!F23)</f>
        <v/>
      </c>
      <c r="G23" s="8">
        <f>AVERAGE('1940'!G23,'1941'!G23,'1942'!G23,'1943'!G23,'1944'!G23,'1945'!G23,'1946'!G23,'1947'!G23,'1948'!G23,'1949'!G23,'1950'!G23,'1951'!G23,'1952'!G23,'1953'!G23,'1954'!G23,'1955'!G23,'1956'!G23,'1957'!G23,'1958'!G23,'1959'!G23,'1960'!G23,'1961'!G23,'1962'!G23,'1963'!G23,'1964'!G23,'1965'!G23,'1966'!G23,'1967'!G23,'1968'!G23,'1969'!G23,'1970'!G23,'1971'!G23,'1972'!G23,'1973'!G23,'1974'!G23,'1975'!G23,'1976'!G23,'1977'!G23,'1978'!G23,'1979'!G23,'1980'!G23,'1981'!G23,'1982'!G23,'1983'!G23,'1984'!G23,'1985'!G23,'1986'!G23,'1987'!G23,'1988'!G23,'1989'!G23,'1990'!G23,'1991'!G23,'1992'!G23,'1993'!G23,'1994'!G23,'1995'!G23,'1996'!G23,'1997'!G23,'1998'!G23,'1999'!G23,'2000'!G23,'2001'!G23,'2002'!G23,'2003'!G23,'2004'!G23,'2005'!G23,'2006'!G23,'2007'!G23,'2008'!G23,'2009'!G23,'2010'!G23,'2011'!G23,'2012'!G23,'2013'!G23,'2014'!G23,'2015'!G23,'2016'!G23,'2017'!G23,'2018'!G23,'2019'!G23,'2020'!G23,'2021'!G23,'2022'!G23,'2023'!G23,'2024'!G23,'2025'!G23)</f>
        <v/>
      </c>
      <c r="H23" s="8">
        <f>AVERAGE('1940'!H23,'1941'!H23,'1942'!H23,'1943'!H23,'1944'!H23,'1945'!H23,'1946'!H23,'1947'!H23,'1948'!H23,'1949'!H23,'1950'!H23,'1951'!H23,'1952'!H23,'1953'!H23,'1954'!H23,'1955'!H23,'1956'!H23,'1957'!H23,'1958'!H23,'1959'!H23,'1960'!H23,'1961'!H23,'1962'!H23,'1963'!H23,'1964'!H23,'1965'!H23,'1966'!H23,'1967'!H23,'1968'!H23,'1969'!H23,'1970'!H23,'1971'!H23,'1972'!H23,'1973'!H23,'1974'!H23,'1975'!H23,'1976'!H23,'1977'!H23,'1978'!H23,'1979'!H23,'1980'!H23,'1981'!H23,'1982'!H23,'1983'!H23,'1984'!H23,'1985'!H23,'1986'!H23,'1987'!H23,'1988'!H23,'1989'!H23,'1990'!H23,'1991'!H23,'1992'!H23,'1993'!H23,'1994'!H23,'1995'!H23,'1996'!H23,'1997'!H23,'1998'!H23,'1999'!H23,'2000'!H23,'2001'!H23,'2002'!H23,'2003'!H23,'2004'!H23,'2005'!H23,'2006'!H23,'2007'!H23,'2008'!H23,'2009'!H23,'2010'!H23,'2011'!H23,'2012'!H23,'2013'!H23,'2014'!H23,'2015'!H23,'2016'!H23,'2017'!H23,'2018'!H23,'2019'!H23,'2020'!H23,'2021'!H23,'2022'!H23,'2023'!H23,'2024'!H23,'2025'!H23)</f>
        <v/>
      </c>
      <c r="I23" s="8">
        <f>AVERAGE('1940'!I23,'1941'!I23,'1942'!I23,'1943'!I23,'1944'!I23,'1945'!I23,'1946'!I23,'1947'!I23,'1948'!I23,'1949'!I23,'1950'!I23,'1951'!I23,'1952'!I23,'1953'!I23,'1954'!I23,'1955'!I23,'1956'!I23,'1957'!I23,'1958'!I23,'1959'!I23,'1960'!I23,'1961'!I23,'1962'!I23,'1963'!I23,'1964'!I23,'1965'!I23,'1966'!I23,'1967'!I23,'1968'!I23,'1969'!I23,'1970'!I23,'1971'!I23,'1972'!I23,'1973'!I23,'1974'!I23,'1975'!I23,'1976'!I23,'1977'!I23,'1978'!I23,'1979'!I23,'1980'!I23,'1981'!I23,'1982'!I23,'1983'!I23,'1984'!I23,'1985'!I23,'1986'!I23,'1987'!I23,'1988'!I23,'1989'!I23,'1990'!I23,'1991'!I23,'1992'!I23,'1993'!I23,'1994'!I23,'1995'!I23,'1996'!I23,'1997'!I23,'1998'!I23,'1999'!I23,'2000'!I23,'2001'!I23,'2002'!I23,'2003'!I23,'2004'!I23,'2005'!I23,'2006'!I23,'2007'!I23,'2008'!I23,'2009'!I23,'2010'!I23,'2011'!I23,'2012'!I23,'2013'!I23,'2014'!I23,'2015'!I23,'2016'!I23,'2017'!I23,'2018'!I23,'2019'!I23,'2020'!I23,'2021'!I23,'2022'!I23,'2023'!I23,'2024'!I23,'2025'!I23)</f>
        <v/>
      </c>
      <c r="J23" s="8">
        <f>AVERAGE('1940'!J23,'1941'!J23,'1942'!J23,'1943'!J23,'1944'!J23,'1945'!J23,'1946'!J23,'1947'!J23,'1948'!J23,'1949'!J23,'1950'!J23,'1951'!J23,'1952'!J23,'1953'!J23,'1954'!J23,'1955'!J23,'1956'!J23,'1957'!J23,'1958'!J23,'1959'!J23,'1960'!J23,'1961'!J23,'1962'!J23,'1963'!J23,'1964'!J23,'1965'!J23,'1966'!J23,'1967'!J23,'1968'!J23,'1969'!J23,'1970'!J23,'1971'!J23,'1972'!J23,'1973'!J23,'1974'!J23,'1975'!J23,'1976'!J23,'1977'!J23,'1978'!J23,'1979'!J23,'1980'!J23,'1981'!J23,'1982'!J23,'1983'!J23,'1984'!J23,'1985'!J23,'1986'!J23,'1987'!J23,'1988'!J23,'1989'!J23,'1990'!J23,'1991'!J23,'1992'!J23,'1993'!J23,'1994'!J23,'1995'!J23,'1996'!J23,'1997'!J23,'1998'!J23,'1999'!J23,'2000'!J23,'2001'!J23,'2002'!J23,'2003'!J23,'2004'!J23,'2005'!J23,'2006'!J23,'2007'!J23,'2008'!J23,'2009'!J23,'2010'!J23,'2011'!J23,'2012'!J23,'2013'!J23,'2014'!J23,'2015'!J23,'2016'!J23,'2017'!J23,'2018'!J23,'2019'!J23,'2020'!J23,'2021'!J23,'2022'!J23,'2023'!J23,'2024'!J23,'2025'!J23)</f>
        <v/>
      </c>
      <c r="K23" s="8">
        <f>AVERAGE('1940'!K23,'1941'!K23,'1942'!K23,'1943'!K23,'1944'!K23,'1945'!K23,'1946'!K23,'1947'!K23,'1948'!K23,'1949'!K23,'1950'!K23,'1951'!K23,'1952'!K23,'1953'!K23,'1954'!K23,'1955'!K23,'1956'!K23,'1957'!K23,'1958'!K23,'1959'!K23,'1960'!K23,'1961'!K23,'1962'!K23,'1963'!K23,'1964'!K23,'1965'!K23,'1966'!K23,'1967'!K23,'1968'!K23,'1969'!K23,'1970'!K23,'1971'!K23,'1972'!K23,'1973'!K23,'1974'!K23,'1975'!K23,'1976'!K23,'1977'!K23,'1978'!K23,'1979'!K23,'1980'!K23,'1981'!K23,'1982'!K23,'1983'!K23,'1984'!K23,'1985'!K23,'1986'!K23,'1987'!K23,'1988'!K23,'1989'!K23,'1990'!K23,'1991'!K23,'1992'!K23,'1993'!K23,'1994'!K23,'1995'!K23,'1996'!K23,'1997'!K23,'1998'!K23,'1999'!K23,'2000'!K23,'2001'!K23,'2002'!K23,'2003'!K23,'2004'!K23,'2005'!K23,'2006'!K23,'2007'!K23,'2008'!K23,'2009'!K23,'2010'!K23,'2011'!K23,'2012'!K23,'2013'!K23,'2014'!K23,'2015'!K23,'2016'!K23,'2017'!K23,'2018'!K23,'2019'!K23,'2020'!K23,'2021'!K23,'2022'!K23,'2023'!K23,'2024'!K23,'2025'!K23)</f>
        <v/>
      </c>
      <c r="L23" s="8">
        <f>AVERAGE('1940'!L23,'1941'!L23,'1942'!L23,'1943'!L23,'1944'!L23,'1945'!L23,'1946'!L23,'1947'!L23,'1948'!L23,'1949'!L23,'1950'!L23,'1951'!L23,'1952'!L23,'1953'!L23,'1954'!L23,'1955'!L23,'1956'!L23,'1957'!L23,'1958'!L23,'1959'!L23,'1960'!L23,'1961'!L23,'1962'!L23,'1963'!L23,'1964'!L23,'1965'!L23,'1966'!L23,'1967'!L23,'1968'!L23,'1969'!L23,'1970'!L23,'1971'!L23,'1972'!L23,'1973'!L23,'1974'!L23,'1975'!L23,'1976'!L23,'1977'!L23,'1978'!L23,'1979'!L23,'1980'!L23,'1981'!L23,'1982'!L23,'1983'!L23,'1984'!L23,'1985'!L23,'1986'!L23,'1987'!L23,'1988'!L23,'1989'!L23,'1990'!L23,'1991'!L23,'1992'!L23,'1993'!L23,'1994'!L23,'1995'!L23,'1996'!L23,'1997'!L23,'1998'!L23,'1999'!L23,'2000'!L23,'2001'!L23,'2002'!L23,'2003'!L23,'2004'!L23,'2005'!L23,'2006'!L23,'2007'!L23,'2008'!L23,'2009'!L23,'2010'!L23,'2011'!L23,'2012'!L23,'2013'!L23,'2014'!L23,'2015'!L23,'2016'!L23,'2017'!L23,'2018'!L23,'2019'!L23,'2020'!L23,'2021'!L23,'2022'!L23,'2023'!L23,'2024'!L23,'2025'!L23)</f>
        <v/>
      </c>
      <c r="M23" s="8">
        <f>AVERAGE('1940'!M23,'1941'!M23,'1942'!M23,'1943'!M23,'1944'!M23,'1945'!M23,'1946'!M23,'1947'!M23,'1948'!M23,'1949'!M23,'1950'!M23,'1951'!M23,'1952'!M23,'1953'!M23,'1954'!M23,'1955'!M23,'1956'!M23,'1957'!M23,'1958'!M23,'1959'!M23,'1960'!M23,'1961'!M23,'1962'!M23,'1963'!M23,'1964'!M23,'1965'!M23,'1966'!M23,'1967'!M23,'1968'!M23,'1969'!M23,'1970'!M23,'1971'!M23,'1972'!M23,'1973'!M23,'1974'!M23,'1975'!M23,'1976'!M23,'1977'!M23,'1978'!M23,'1979'!M23,'1980'!M23,'1981'!M23,'1982'!M23,'1983'!M23,'1984'!M23,'1985'!M23,'1986'!M23,'1987'!M23,'1988'!M23,'1989'!M23,'1990'!M23,'1991'!M23,'1992'!M23,'1993'!M23,'1994'!M23,'1995'!M23,'1996'!M23,'1997'!M23,'1998'!M23,'1999'!M23,'2000'!M23,'2001'!M23,'2002'!M23,'2003'!M23,'2004'!M23,'2005'!M23,'2006'!M23,'2007'!M23,'2008'!M23,'2009'!M23,'2010'!M23,'2011'!M23,'2012'!M23,'2013'!M23,'2014'!M23,'2015'!M23,'2016'!M23,'2017'!M23,'2018'!M23,'2019'!M23,'2020'!M23,'2021'!M23,'2022'!M23,'2023'!M23,'2024'!M23,'2025'!M23)</f>
        <v/>
      </c>
      <c r="N23" s="9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8">
        <f>AVERAGE('1940'!B25,'1941'!B25,'1942'!B25,'1943'!B25,'1944'!B25,'1945'!B25,'1946'!B25,'1947'!B25,'1948'!B25,'1949'!B25,'1950'!B25,'1951'!B25,'1952'!B25,'1953'!B25,'1954'!B25,'1955'!B25,'1956'!B25,'1957'!B25,'1958'!B25,'1959'!B25,'1960'!B25,'1961'!B25,'1962'!B25,'1963'!B25,'1964'!B25,'1965'!B25,'1966'!B25,'1967'!B25,'1968'!B25,'1969'!B25,'1970'!B25,'1971'!B25,'1972'!B25,'1973'!B25,'1974'!B25,'1975'!B25,'1976'!B25,'1977'!B25,'1978'!B25,'1979'!B25,'1980'!B25,'1981'!B25,'1982'!B25,'1983'!B25,'1984'!B25,'1985'!B25,'1986'!B25,'1987'!B25,'1988'!B25,'1989'!B25,'1990'!B25,'1991'!B25,'1992'!B25,'1993'!B25,'1994'!B25,'1995'!B25,'1996'!B25,'1997'!B25,'1998'!B25,'1999'!B25,'2000'!B25,'2001'!B25,'2002'!B25,'2003'!B25,'2004'!B25,'2005'!B25,'2006'!B25,'2007'!B25,'2008'!B25,'2009'!B25,'2010'!B25,'2011'!B25,'2012'!B25,'2013'!B25,'2014'!B25,'2015'!B25,'2016'!B25,'2017'!B25,'2018'!B25,'2019'!B25,'2020'!B25,'2021'!B25,'2022'!B25,'2023'!B25,'2024'!B25,'2025'!B25)</f>
        <v/>
      </c>
      <c r="C25" s="8">
        <f>AVERAGE('1940'!C25,'1941'!C25,'1942'!C25,'1943'!C25,'1944'!C25,'1945'!C25,'1946'!C25,'1947'!C25,'1948'!C25,'1949'!C25,'1950'!C25,'1951'!C25,'1952'!C25,'1953'!C25,'1954'!C25,'1955'!C25,'1956'!C25,'1957'!C25,'1958'!C25,'1959'!C25,'1960'!C25,'1961'!C25,'1962'!C25,'1963'!C25,'1964'!C25,'1965'!C25,'1966'!C25,'1967'!C25,'1968'!C25,'1969'!C25,'1970'!C25,'1971'!C25,'1972'!C25,'1973'!C25,'1974'!C25,'1975'!C25,'1976'!C25,'1977'!C25,'1978'!C25,'1979'!C25,'1980'!C25,'1981'!C25,'1982'!C25,'1983'!C25,'1984'!C25,'1985'!C25,'1986'!C25,'1987'!C25,'1988'!C25,'1989'!C25,'1990'!C25,'1991'!C25,'1992'!C25,'1993'!C25,'1994'!C25,'1995'!C25,'1996'!C25,'1997'!C25,'1998'!C25,'1999'!C25,'2000'!C25,'2001'!C25,'2002'!C25,'2003'!C25,'2004'!C25,'2005'!C25,'2006'!C25,'2007'!C25,'2008'!C25,'2009'!C25,'2010'!C25,'2011'!C25,'2012'!C25,'2013'!C25,'2014'!C25,'2015'!C25,'2016'!C25,'2017'!C25,'2018'!C25,'2019'!C25,'2020'!C25,'2021'!C25,'2022'!C25,'2023'!C25,'2024'!C25,'2025'!C25)</f>
        <v/>
      </c>
      <c r="D25" s="8">
        <f>AVERAGE('1940'!D25,'1941'!D25,'1942'!D25,'1943'!D25,'1944'!D25,'1945'!D25,'1946'!D25,'1947'!D25,'1948'!D25,'1949'!D25,'1950'!D25,'1951'!D25,'1952'!D25,'1953'!D25,'1954'!D25,'1955'!D25,'1956'!D25,'1957'!D25,'1958'!D25,'1959'!D25,'1960'!D25,'1961'!D25,'1962'!D25,'1963'!D25,'1964'!D25,'1965'!D25,'1966'!D25,'1967'!D25,'1968'!D25,'1969'!D25,'1970'!D25,'1971'!D25,'1972'!D25,'1973'!D25,'1974'!D25,'1975'!D25,'1976'!D25,'1977'!D25,'1978'!D25,'1979'!D25,'1980'!D25,'1981'!D25,'1982'!D25,'1983'!D25,'1984'!D25,'1985'!D25,'1986'!D25,'1987'!D25,'1988'!D25,'1989'!D25,'1990'!D25,'1991'!D25,'1992'!D25,'1993'!D25,'1994'!D25,'1995'!D25,'1996'!D25,'1997'!D25,'1998'!D25,'1999'!D25,'2000'!D25,'2001'!D25,'2002'!D25,'2003'!D25,'2004'!D25,'2005'!D25,'2006'!D25,'2007'!D25,'2008'!D25,'2009'!D25,'2010'!D25,'2011'!D25,'2012'!D25,'2013'!D25,'2014'!D25,'2015'!D25,'2016'!D25,'2017'!D25,'2018'!D25,'2019'!D25,'2020'!D25,'2021'!D25,'2022'!D25,'2023'!D25,'2024'!D25,'2025'!D25)</f>
        <v/>
      </c>
      <c r="E25" s="8">
        <f>AVERAGE('1940'!E25,'1941'!E25,'1942'!E25,'1943'!E25,'1944'!E25,'1945'!E25,'1946'!E25,'1947'!E25,'1948'!E25,'1949'!E25,'1950'!E25,'1951'!E25,'1952'!E25,'1953'!E25,'1954'!E25,'1955'!E25,'1956'!E25,'1957'!E25,'1958'!E25,'1959'!E25,'1960'!E25,'1961'!E25,'1962'!E25,'1963'!E25,'1964'!E25,'1965'!E25,'1966'!E25,'1967'!E25,'1968'!E25,'1969'!E25,'1970'!E25,'1971'!E25,'1972'!E25,'1973'!E25,'1974'!E25,'1975'!E25,'1976'!E25,'1977'!E25,'1978'!E25,'1979'!E25,'1980'!E25,'1981'!E25,'1982'!E25,'1983'!E25,'1984'!E25,'1985'!E25,'1986'!E25,'1987'!E25,'1988'!E25,'1989'!E25,'1990'!E25,'1991'!E25,'1992'!E25,'1993'!E25,'1994'!E25,'1995'!E25,'1996'!E25,'1997'!E25,'1998'!E25,'1999'!E25,'2000'!E25,'2001'!E25,'2002'!E25,'2003'!E25,'2004'!E25,'2005'!E25,'2006'!E25,'2007'!E25,'2008'!E25,'2009'!E25,'2010'!E25,'2011'!E25,'2012'!E25,'2013'!E25,'2014'!E25,'2015'!E25,'2016'!E25,'2017'!E25,'2018'!E25,'2019'!E25,'2020'!E25,'2021'!E25,'2022'!E25,'2023'!E25,'2024'!E25,'2025'!E25)</f>
        <v/>
      </c>
      <c r="F25" s="8">
        <f>AVERAGE('1940'!F25,'1941'!F25,'1942'!F25,'1943'!F25,'1944'!F25,'1945'!F25,'1946'!F25,'1947'!F25,'1948'!F25,'1949'!F25,'1950'!F25,'1951'!F25,'1952'!F25,'1953'!F25,'1954'!F25,'1955'!F25,'1956'!F25,'1957'!F25,'1958'!F25,'1959'!F25,'1960'!F25,'1961'!F25,'1962'!F25,'1963'!F25,'1964'!F25,'1965'!F25,'1966'!F25,'1967'!F25,'1968'!F25,'1969'!F25,'1970'!F25,'1971'!F25,'1972'!F25,'1973'!F25,'1974'!F25,'1975'!F25,'1976'!F25,'1977'!F25,'1978'!F25,'1979'!F25,'1980'!F25,'1981'!F25,'1982'!F25,'1983'!F25,'1984'!F25,'1985'!F25,'1986'!F25,'1987'!F25,'1988'!F25,'1989'!F25,'1990'!F25,'1991'!F25,'1992'!F25,'1993'!F25,'1994'!F25,'1995'!F25,'1996'!F25,'1997'!F25,'1998'!F25,'1999'!F25,'2000'!F25,'2001'!F25,'2002'!F25,'2003'!F25,'2004'!F25,'2005'!F25,'2006'!F25,'2007'!F25,'2008'!F25,'2009'!F25,'2010'!F25,'2011'!F25,'2012'!F25,'2013'!F25,'2014'!F25,'2015'!F25,'2016'!F25,'2017'!F25,'2018'!F25,'2019'!F25,'2020'!F25,'2021'!F25,'2022'!F25,'2023'!F25,'2024'!F25,'2025'!F25)</f>
        <v/>
      </c>
      <c r="G25" s="8">
        <f>AVERAGE('1940'!G25,'1941'!G25,'1942'!G25,'1943'!G25,'1944'!G25,'1945'!G25,'1946'!G25,'1947'!G25,'1948'!G25,'1949'!G25,'1950'!G25,'1951'!G25,'1952'!G25,'1953'!G25,'1954'!G25,'1955'!G25,'1956'!G25,'1957'!G25,'1958'!G25,'1959'!G25,'1960'!G25,'1961'!G25,'1962'!G25,'1963'!G25,'1964'!G25,'1965'!G25,'1966'!G25,'1967'!G25,'1968'!G25,'1969'!G25,'1970'!G25,'1971'!G25,'1972'!G25,'1973'!G25,'1974'!G25,'1975'!G25,'1976'!G25,'1977'!G25,'1978'!G25,'1979'!G25,'1980'!G25,'1981'!G25,'1982'!G25,'1983'!G25,'1984'!G25,'1985'!G25,'1986'!G25,'1987'!G25,'1988'!G25,'1989'!G25,'1990'!G25,'1991'!G25,'1992'!G25,'1993'!G25,'1994'!G25,'1995'!G25,'1996'!G25,'1997'!G25,'1998'!G25,'1999'!G25,'2000'!G25,'2001'!G25,'2002'!G25,'2003'!G25,'2004'!G25,'2005'!G25,'2006'!G25,'2007'!G25,'2008'!G25,'2009'!G25,'2010'!G25,'2011'!G25,'2012'!G25,'2013'!G25,'2014'!G25,'2015'!G25,'2016'!G25,'2017'!G25,'2018'!G25,'2019'!G25,'2020'!G25,'2021'!G25,'2022'!G25,'2023'!G25,'2024'!G25,'2025'!G25)</f>
        <v/>
      </c>
      <c r="H25" s="8">
        <f>AVERAGE('1940'!H25,'1941'!H25,'1942'!H25,'1943'!H25,'1944'!H25,'1945'!H25,'1946'!H25,'1947'!H25,'1948'!H25,'1949'!H25,'1950'!H25,'1951'!H25,'1952'!H25,'1953'!H25,'1954'!H25,'1955'!H25,'1956'!H25,'1957'!H25,'1958'!H25,'1959'!H25,'1960'!H25,'1961'!H25,'1962'!H25,'1963'!H25,'1964'!H25,'1965'!H25,'1966'!H25,'1967'!H25,'1968'!H25,'1969'!H25,'1970'!H25,'1971'!H25,'1972'!H25,'1973'!H25,'1974'!H25,'1975'!H25,'1976'!H25,'1977'!H25,'1978'!H25,'1979'!H25,'1980'!H25,'1981'!H25,'1982'!H25,'1983'!H25,'1984'!H25,'1985'!H25,'1986'!H25,'1987'!H25,'1988'!H25,'1989'!H25,'1990'!H25,'1991'!H25,'1992'!H25,'1993'!H25,'1994'!H25,'1995'!H25,'1996'!H25,'1997'!H25,'1998'!H25,'1999'!H25,'2000'!H25,'2001'!H25,'2002'!H25,'2003'!H25,'2004'!H25,'2005'!H25,'2006'!H25,'2007'!H25,'2008'!H25,'2009'!H25,'2010'!H25,'2011'!H25,'2012'!H25,'2013'!H25,'2014'!H25,'2015'!H25,'2016'!H25,'2017'!H25,'2018'!H25,'2019'!H25,'2020'!H25,'2021'!H25,'2022'!H25,'2023'!H25,'2024'!H25,'2025'!H25)</f>
        <v/>
      </c>
      <c r="I25" s="8">
        <f>AVERAGE('1940'!I25,'1941'!I25,'1942'!I25,'1943'!I25,'1944'!I25,'1945'!I25,'1946'!I25,'1947'!I25,'1948'!I25,'1949'!I25,'1950'!I25,'1951'!I25,'1952'!I25,'1953'!I25,'1954'!I25,'1955'!I25,'1956'!I25,'1957'!I25,'1958'!I25,'1959'!I25,'1960'!I25,'1961'!I25,'1962'!I25,'1963'!I25,'1964'!I25,'1965'!I25,'1966'!I25,'1967'!I25,'1968'!I25,'1969'!I25,'1970'!I25,'1971'!I25,'1972'!I25,'1973'!I25,'1974'!I25,'1975'!I25,'1976'!I25,'1977'!I25,'1978'!I25,'1979'!I25,'1980'!I25,'1981'!I25,'1982'!I25,'1983'!I25,'1984'!I25,'1985'!I25,'1986'!I25,'1987'!I25,'1988'!I25,'1989'!I25,'1990'!I25,'1991'!I25,'1992'!I25,'1993'!I25,'1994'!I25,'1995'!I25,'1996'!I25,'1997'!I25,'1998'!I25,'1999'!I25,'2000'!I25,'2001'!I25,'2002'!I25,'2003'!I25,'2004'!I25,'2005'!I25,'2006'!I25,'2007'!I25,'2008'!I25,'2009'!I25,'2010'!I25,'2011'!I25,'2012'!I25,'2013'!I25,'2014'!I25,'2015'!I25,'2016'!I25,'2017'!I25,'2018'!I25,'2019'!I25,'2020'!I25,'2021'!I25,'2022'!I25,'2023'!I25,'2024'!I25,'2025'!I25)</f>
        <v/>
      </c>
      <c r="J25" s="8">
        <f>AVERAGE('1940'!J25,'1941'!J25,'1942'!J25,'1943'!J25,'1944'!J25,'1945'!J25,'1946'!J25,'1947'!J25,'1948'!J25,'1949'!J25,'1950'!J25,'1951'!J25,'1952'!J25,'1953'!J25,'1954'!J25,'1955'!J25,'1956'!J25,'1957'!J25,'1958'!J25,'1959'!J25,'1960'!J25,'1961'!J25,'1962'!J25,'1963'!J25,'1964'!J25,'1965'!J25,'1966'!J25,'1967'!J25,'1968'!J25,'1969'!J25,'1970'!J25,'1971'!J25,'1972'!J25,'1973'!J25,'1974'!J25,'1975'!J25,'1976'!J25,'1977'!J25,'1978'!J25,'1979'!J25,'1980'!J25,'1981'!J25,'1982'!J25,'1983'!J25,'1984'!J25,'1985'!J25,'1986'!J25,'1987'!J25,'1988'!J25,'1989'!J25,'1990'!J25,'1991'!J25,'1992'!J25,'1993'!J25,'1994'!J25,'1995'!J25,'1996'!J25,'1997'!J25,'1998'!J25,'1999'!J25,'2000'!J25,'2001'!J25,'2002'!J25,'2003'!J25,'2004'!J25,'2005'!J25,'2006'!J25,'2007'!J25,'2008'!J25,'2009'!J25,'2010'!J25,'2011'!J25,'2012'!J25,'2013'!J25,'2014'!J25,'2015'!J25,'2016'!J25,'2017'!J25,'2018'!J25,'2019'!J25,'2020'!J25,'2021'!J25,'2022'!J25,'2023'!J25,'2024'!J25,'2025'!J25)</f>
        <v/>
      </c>
      <c r="K25" s="8">
        <f>AVERAGE('1940'!K25,'1941'!K25,'1942'!K25,'1943'!K25,'1944'!K25,'1945'!K25,'1946'!K25,'1947'!K25,'1948'!K25,'1949'!K25,'1950'!K25,'1951'!K25,'1952'!K25,'1953'!K25,'1954'!K25,'1955'!K25,'1956'!K25,'1957'!K25,'1958'!K25,'1959'!K25,'1960'!K25,'1961'!K25,'1962'!K25,'1963'!K25,'1964'!K25,'1965'!K25,'1966'!K25,'1967'!K25,'1968'!K25,'1969'!K25,'1970'!K25,'1971'!K25,'1972'!K25,'1973'!K25,'1974'!K25,'1975'!K25,'1976'!K25,'1977'!K25,'1978'!K25,'1979'!K25,'1980'!K25,'1981'!K25,'1982'!K25,'1983'!K25,'1984'!K25,'1985'!K25,'1986'!K25,'1987'!K25,'1988'!K25,'1989'!K25,'1990'!K25,'1991'!K25,'1992'!K25,'1993'!K25,'1994'!K25,'1995'!K25,'1996'!K25,'1997'!K25,'1998'!K25,'1999'!K25,'2000'!K25,'2001'!K25,'2002'!K25,'2003'!K25,'2004'!K25,'2005'!K25,'2006'!K25,'2007'!K25,'2008'!K25,'2009'!K25,'2010'!K25,'2011'!K25,'2012'!K25,'2013'!K25,'2014'!K25,'2015'!K25,'2016'!K25,'2017'!K25,'2018'!K25,'2019'!K25,'2020'!K25,'2021'!K25,'2022'!K25,'2023'!K25,'2024'!K25,'2025'!K25)</f>
        <v/>
      </c>
      <c r="L25" s="8">
        <f>AVERAGE('1940'!L25,'1941'!L25,'1942'!L25,'1943'!L25,'1944'!L25,'1945'!L25,'1946'!L25,'1947'!L25,'1948'!L25,'1949'!L25,'1950'!L25,'1951'!L25,'1952'!L25,'1953'!L25,'1954'!L25,'1955'!L25,'1956'!L25,'1957'!L25,'1958'!L25,'1959'!L25,'1960'!L25,'1961'!L25,'1962'!L25,'1963'!L25,'1964'!L25,'1965'!L25,'1966'!L25,'1967'!L25,'1968'!L25,'1969'!L25,'1970'!L25,'1971'!L25,'1972'!L25,'1973'!L25,'1974'!L25,'1975'!L25,'1976'!L25,'1977'!L25,'1978'!L25,'1979'!L25,'1980'!L25,'1981'!L25,'1982'!L25,'1983'!L25,'1984'!L25,'1985'!L25,'1986'!L25,'1987'!L25,'1988'!L25,'1989'!L25,'1990'!L25,'1991'!L25,'1992'!L25,'1993'!L25,'1994'!L25,'1995'!L25,'1996'!L25,'1997'!L25,'1998'!L25,'1999'!L25,'2000'!L25,'2001'!L25,'2002'!L25,'2003'!L25,'2004'!L25,'2005'!L25,'2006'!L25,'2007'!L25,'2008'!L25,'2009'!L25,'2010'!L25,'2011'!L25,'2012'!L25,'2013'!L25,'2014'!L25,'2015'!L25,'2016'!L25,'2017'!L25,'2018'!L25,'2019'!L25,'2020'!L25,'2021'!L25,'2022'!L25,'2023'!L25,'2024'!L25,'2025'!L25)</f>
        <v/>
      </c>
      <c r="M25" s="8">
        <f>AVERAGE('1940'!M25,'1941'!M25,'1942'!M25,'1943'!M25,'1944'!M25,'1945'!M25,'1946'!M25,'1947'!M25,'1948'!M25,'1949'!M25,'1950'!M25,'1951'!M25,'1952'!M25,'1953'!M25,'1954'!M25,'1955'!M25,'1956'!M25,'1957'!M25,'1958'!M25,'1959'!M25,'1960'!M25,'1961'!M25,'1962'!M25,'1963'!M25,'1964'!M25,'1965'!M25,'1966'!M25,'1967'!M25,'1968'!M25,'1969'!M25,'1970'!M25,'1971'!M25,'1972'!M25,'1973'!M25,'1974'!M25,'1975'!M25,'1976'!M25,'1977'!M25,'1978'!M25,'1979'!M25,'1980'!M25,'1981'!M25,'1982'!M25,'1983'!M25,'1984'!M25,'1985'!M25,'1986'!M25,'1987'!M25,'1988'!M25,'1989'!M25,'1990'!M25,'1991'!M25,'1992'!M25,'1993'!M25,'1994'!M25,'1995'!M25,'1996'!M25,'1997'!M25,'1998'!M25,'1999'!M25,'2000'!M25,'2001'!M25,'2002'!M25,'2003'!M25,'2004'!M25,'2005'!M25,'2006'!M25,'2007'!M25,'2008'!M25,'2009'!M25,'2010'!M25,'2011'!M25,'2012'!M25,'2013'!M25,'2014'!M25,'2015'!M25,'2016'!M25,'2017'!M25,'2018'!M25,'2019'!M25,'2020'!M25,'2021'!M25,'2022'!M25,'2023'!M25,'2024'!M25,'2025'!M25)</f>
        <v/>
      </c>
      <c r="N25" s="9">
        <f>SUM(B25:M25)</f>
        <v/>
      </c>
    </row>
    <row r="26">
      <c r="A26" s="7" t="inlineStr">
        <is>
          <t>snežnim pokrivačem</t>
        </is>
      </c>
      <c r="B26" s="8">
        <f>AVERAGE('1940'!B26,'1941'!B26,'1942'!B26,'1943'!B26,'1944'!B26,'1945'!B26,'1946'!B26,'1947'!B26,'1948'!B26,'1949'!B26,'1950'!B26,'1951'!B26,'1952'!B26,'1953'!B26,'1954'!B26,'1955'!B26,'1956'!B26,'1957'!B26,'1958'!B26,'1959'!B26,'1960'!B26,'1961'!B26,'1962'!B26,'1963'!B26,'1964'!B26,'1965'!B26,'1966'!B26,'1967'!B26,'1968'!B26,'1969'!B26,'1970'!B26,'1971'!B26,'1972'!B26,'1973'!B26,'1974'!B26,'1975'!B26,'1976'!B26,'1977'!B26,'1978'!B26,'1979'!B26,'1980'!B26,'1981'!B26,'1982'!B26,'1983'!B26,'1984'!B26,'1985'!B26,'1986'!B26,'1987'!B26,'1988'!B26,'1989'!B26,'1990'!B26,'1991'!B26,'1992'!B26,'1993'!B26,'1994'!B26,'1995'!B26,'1996'!B26,'1997'!B26,'1998'!B26,'1999'!B26,'2000'!B26,'2001'!B26,'2002'!B26,'2003'!B26,'2004'!B26,'2005'!B26,'2006'!B26,'2007'!B26,'2008'!B26,'2009'!B26,'2010'!B26,'2011'!B26,'2012'!B26,'2013'!B26,'2014'!B26,'2015'!B26,'2016'!B26,'2017'!B26,'2018'!B26,'2019'!B26,'2020'!B26,'2021'!B26,'2022'!B26,'2023'!B26,'2024'!B26,'2025'!B26)</f>
        <v/>
      </c>
      <c r="C26" s="8">
        <f>AVERAGE('1940'!C26,'1941'!C26,'1942'!C26,'1943'!C26,'1944'!C26,'1945'!C26,'1946'!C26,'1947'!C26,'1948'!C26,'1949'!C26,'1950'!C26,'1951'!C26,'1952'!C26,'1953'!C26,'1954'!C26,'1955'!C26,'1956'!C26,'1957'!C26,'1958'!C26,'1959'!C26,'1960'!C26,'1961'!C26,'1962'!C26,'1963'!C26,'1964'!C26,'1965'!C26,'1966'!C26,'1967'!C26,'1968'!C26,'1969'!C26,'1970'!C26,'1971'!C26,'1972'!C26,'1973'!C26,'1974'!C26,'1975'!C26,'1976'!C26,'1977'!C26,'1978'!C26,'1979'!C26,'1980'!C26,'1981'!C26,'1982'!C26,'1983'!C26,'1984'!C26,'1985'!C26,'1986'!C26,'1987'!C26,'1988'!C26,'1989'!C26,'1990'!C26,'1991'!C26,'1992'!C26,'1993'!C26,'1994'!C26,'1995'!C26,'1996'!C26,'1997'!C26,'1998'!C26,'1999'!C26,'2000'!C26,'2001'!C26,'2002'!C26,'2003'!C26,'2004'!C26,'2005'!C26,'2006'!C26,'2007'!C26,'2008'!C26,'2009'!C26,'2010'!C26,'2011'!C26,'2012'!C26,'2013'!C26,'2014'!C26,'2015'!C26,'2016'!C26,'2017'!C26,'2018'!C26,'2019'!C26,'2020'!C26,'2021'!C26,'2022'!C26,'2023'!C26,'2024'!C26,'2025'!C26)</f>
        <v/>
      </c>
      <c r="D26" s="8">
        <f>AVERAGE('1940'!D26,'1941'!D26,'1942'!D26,'1943'!D26,'1944'!D26,'1945'!D26,'1946'!D26,'1947'!D26,'1948'!D26,'1949'!D26,'1950'!D26,'1951'!D26,'1952'!D26,'1953'!D26,'1954'!D26,'1955'!D26,'1956'!D26,'1957'!D26,'1958'!D26,'1959'!D26,'1960'!D26,'1961'!D26,'1962'!D26,'1963'!D26,'1964'!D26,'1965'!D26,'1966'!D26,'1967'!D26,'1968'!D26,'1969'!D26,'1970'!D26,'1971'!D26,'1972'!D26,'1973'!D26,'1974'!D26,'1975'!D26,'1976'!D26,'1977'!D26,'1978'!D26,'1979'!D26,'1980'!D26,'1981'!D26,'1982'!D26,'1983'!D26,'1984'!D26,'1985'!D26,'1986'!D26,'1987'!D26,'1988'!D26,'1989'!D26,'1990'!D26,'1991'!D26,'1992'!D26,'1993'!D26,'1994'!D26,'1995'!D26,'1996'!D26,'1997'!D26,'1998'!D26,'1999'!D26,'2000'!D26,'2001'!D26,'2002'!D26,'2003'!D26,'2004'!D26,'2005'!D26,'2006'!D26,'2007'!D26,'2008'!D26,'2009'!D26,'2010'!D26,'2011'!D26,'2012'!D26,'2013'!D26,'2014'!D26,'2015'!D26,'2016'!D26,'2017'!D26,'2018'!D26,'2019'!D26,'2020'!D26,'2021'!D26,'2022'!D26,'2023'!D26,'2024'!D26,'2025'!D26)</f>
        <v/>
      </c>
      <c r="E26" s="8">
        <f>AVERAGE('1940'!E26,'1941'!E26,'1942'!E26,'1943'!E26,'1944'!E26,'1945'!E26,'1946'!E26,'1947'!E26,'1948'!E26,'1949'!E26,'1950'!E26,'1951'!E26,'1952'!E26,'1953'!E26,'1954'!E26,'1955'!E26,'1956'!E26,'1957'!E26,'1958'!E26,'1959'!E26,'1960'!E26,'1961'!E26,'1962'!E26,'1963'!E26,'1964'!E26,'1965'!E26,'1966'!E26,'1967'!E26,'1968'!E26,'1969'!E26,'1970'!E26,'1971'!E26,'1972'!E26,'1973'!E26,'1974'!E26,'1975'!E26,'1976'!E26,'1977'!E26,'1978'!E26,'1979'!E26,'1980'!E26,'1981'!E26,'1982'!E26,'1983'!E26,'1984'!E26,'1985'!E26,'1986'!E26,'1987'!E26,'1988'!E26,'1989'!E26,'1990'!E26,'1991'!E26,'1992'!E26,'1993'!E26,'1994'!E26,'1995'!E26,'1996'!E26,'1997'!E26,'1998'!E26,'1999'!E26,'2000'!E26,'2001'!E26,'2002'!E26,'2003'!E26,'2004'!E26,'2005'!E26,'2006'!E26,'2007'!E26,'2008'!E26,'2009'!E26,'2010'!E26,'2011'!E26,'2012'!E26,'2013'!E26,'2014'!E26,'2015'!E26,'2016'!E26,'2017'!E26,'2018'!E26,'2019'!E26,'2020'!E26,'2021'!E26,'2022'!E26,'2023'!E26,'2024'!E26,'2025'!E26)</f>
        <v/>
      </c>
      <c r="F26" s="8">
        <f>AVERAGE('1940'!F26,'1941'!F26,'1942'!F26,'1943'!F26,'1944'!F26,'1945'!F26,'1946'!F26,'1947'!F26,'1948'!F26,'1949'!F26,'1950'!F26,'1951'!F26,'1952'!F26,'1953'!F26,'1954'!F26,'1955'!F26,'1956'!F26,'1957'!F26,'1958'!F26,'1959'!F26,'1960'!F26,'1961'!F26,'1962'!F26,'1963'!F26,'1964'!F26,'1965'!F26,'1966'!F26,'1967'!F26,'1968'!F26,'1969'!F26,'1970'!F26,'1971'!F26,'1972'!F26,'1973'!F26,'1974'!F26,'1975'!F26,'1976'!F26,'1977'!F26,'1978'!F26,'1979'!F26,'1980'!F26,'1981'!F26,'1982'!F26,'1983'!F26,'1984'!F26,'1985'!F26,'1986'!F26,'1987'!F26,'1988'!F26,'1989'!F26,'1990'!F26,'1991'!F26,'1992'!F26,'1993'!F26,'1994'!F26,'1995'!F26,'1996'!F26,'1997'!F26,'1998'!F26,'1999'!F26,'2000'!F26,'2001'!F26,'2002'!F26,'2003'!F26,'2004'!F26,'2005'!F26,'2006'!F26,'2007'!F26,'2008'!F26,'2009'!F26,'2010'!F26,'2011'!F26,'2012'!F26,'2013'!F26,'2014'!F26,'2015'!F26,'2016'!F26,'2017'!F26,'2018'!F26,'2019'!F26,'2020'!F26,'2021'!F26,'2022'!F26,'2023'!F26,'2024'!F26,'2025'!F26)</f>
        <v/>
      </c>
      <c r="G26" s="8">
        <f>AVERAGE('1940'!G26,'1941'!G26,'1942'!G26,'1943'!G26,'1944'!G26,'1945'!G26,'1946'!G26,'1947'!G26,'1948'!G26,'1949'!G26,'1950'!G26,'1951'!G26,'1952'!G26,'1953'!G26,'1954'!G26,'1955'!G26,'1956'!G26,'1957'!G26,'1958'!G26,'1959'!G26,'1960'!G26,'1961'!G26,'1962'!G26,'1963'!G26,'1964'!G26,'1965'!G26,'1966'!G26,'1967'!G26,'1968'!G26,'1969'!G26,'1970'!G26,'1971'!G26,'1972'!G26,'1973'!G26,'1974'!G26,'1975'!G26,'1976'!G26,'1977'!G26,'1978'!G26,'1979'!G26,'1980'!G26,'1981'!G26,'1982'!G26,'1983'!G26,'1984'!G26,'1985'!G26,'1986'!G26,'1987'!G26,'1988'!G26,'1989'!G26,'1990'!G26,'1991'!G26,'1992'!G26,'1993'!G26,'1994'!G26,'1995'!G26,'1996'!G26,'1997'!G26,'1998'!G26,'1999'!G26,'2000'!G26,'2001'!G26,'2002'!G26,'2003'!G26,'2004'!G26,'2005'!G26,'2006'!G26,'2007'!G26,'2008'!G26,'2009'!G26,'2010'!G26,'2011'!G26,'2012'!G26,'2013'!G26,'2014'!G26,'2015'!G26,'2016'!G26,'2017'!G26,'2018'!G26,'2019'!G26,'2020'!G26,'2021'!G26,'2022'!G26,'2023'!G26,'2024'!G26,'2025'!G26)</f>
        <v/>
      </c>
      <c r="H26" s="8">
        <f>AVERAGE('1940'!H26,'1941'!H26,'1942'!H26,'1943'!H26,'1944'!H26,'1945'!H26,'1946'!H26,'1947'!H26,'1948'!H26,'1949'!H26,'1950'!H26,'1951'!H26,'1952'!H26,'1953'!H26,'1954'!H26,'1955'!H26,'1956'!H26,'1957'!H26,'1958'!H26,'1959'!H26,'1960'!H26,'1961'!H26,'1962'!H26,'1963'!H26,'1964'!H26,'1965'!H26,'1966'!H26,'1967'!H26,'1968'!H26,'1969'!H26,'1970'!H26,'1971'!H26,'1972'!H26,'1973'!H26,'1974'!H26,'1975'!H26,'1976'!H26,'1977'!H26,'1978'!H26,'1979'!H26,'1980'!H26,'1981'!H26,'1982'!H26,'1983'!H26,'1984'!H26,'1985'!H26,'1986'!H26,'1987'!H26,'1988'!H26,'1989'!H26,'1990'!H26,'1991'!H26,'1992'!H26,'1993'!H26,'1994'!H26,'1995'!H26,'1996'!H26,'1997'!H26,'1998'!H26,'1999'!H26,'2000'!H26,'2001'!H26,'2002'!H26,'2003'!H26,'2004'!H26,'2005'!H26,'2006'!H26,'2007'!H26,'2008'!H26,'2009'!H26,'2010'!H26,'2011'!H26,'2012'!H26,'2013'!H26,'2014'!H26,'2015'!H26,'2016'!H26,'2017'!H26,'2018'!H26,'2019'!H26,'2020'!H26,'2021'!H26,'2022'!H26,'2023'!H26,'2024'!H26,'2025'!H26)</f>
        <v/>
      </c>
      <c r="I26" s="8">
        <f>AVERAGE('1940'!I26,'1941'!I26,'1942'!I26,'1943'!I26,'1944'!I26,'1945'!I26,'1946'!I26,'1947'!I26,'1948'!I26,'1949'!I26,'1950'!I26,'1951'!I26,'1952'!I26,'1953'!I26,'1954'!I26,'1955'!I26,'1956'!I26,'1957'!I26,'1958'!I26,'1959'!I26,'1960'!I26,'1961'!I26,'1962'!I26,'1963'!I26,'1964'!I26,'1965'!I26,'1966'!I26,'1967'!I26,'1968'!I26,'1969'!I26,'1970'!I26,'1971'!I26,'1972'!I26,'1973'!I26,'1974'!I26,'1975'!I26,'1976'!I26,'1977'!I26,'1978'!I26,'1979'!I26,'1980'!I26,'1981'!I26,'1982'!I26,'1983'!I26,'1984'!I26,'1985'!I26,'1986'!I26,'1987'!I26,'1988'!I26,'1989'!I26,'1990'!I26,'1991'!I26,'1992'!I26,'1993'!I26,'1994'!I26,'1995'!I26,'1996'!I26,'1997'!I26,'1998'!I26,'1999'!I26,'2000'!I26,'2001'!I26,'2002'!I26,'2003'!I26,'2004'!I26,'2005'!I26,'2006'!I26,'2007'!I26,'2008'!I26,'2009'!I26,'2010'!I26,'2011'!I26,'2012'!I26,'2013'!I26,'2014'!I26,'2015'!I26,'2016'!I26,'2017'!I26,'2018'!I26,'2019'!I26,'2020'!I26,'2021'!I26,'2022'!I26,'2023'!I26,'2024'!I26,'2025'!I26)</f>
        <v/>
      </c>
      <c r="J26" s="8">
        <f>AVERAGE('1940'!J26,'1941'!J26,'1942'!J26,'1943'!J26,'1944'!J26,'1945'!J26,'1946'!J26,'1947'!J26,'1948'!J26,'1949'!J26,'1950'!J26,'1951'!J26,'1952'!J26,'1953'!J26,'1954'!J26,'1955'!J26,'1956'!J26,'1957'!J26,'1958'!J26,'1959'!J26,'1960'!J26,'1961'!J26,'1962'!J26,'1963'!J26,'1964'!J26,'1965'!J26,'1966'!J26,'1967'!J26,'1968'!J26,'1969'!J26,'1970'!J26,'1971'!J26,'1972'!J26,'1973'!J26,'1974'!J26,'1975'!J26,'1976'!J26,'1977'!J26,'1978'!J26,'1979'!J26,'1980'!J26,'1981'!J26,'1982'!J26,'1983'!J26,'1984'!J26,'1985'!J26,'1986'!J26,'1987'!J26,'1988'!J26,'1989'!J26,'1990'!J26,'1991'!J26,'1992'!J26,'1993'!J26,'1994'!J26,'1995'!J26,'1996'!J26,'1997'!J26,'1998'!J26,'1999'!J26,'2000'!J26,'2001'!J26,'2002'!J26,'2003'!J26,'2004'!J26,'2005'!J26,'2006'!J26,'2007'!J26,'2008'!J26,'2009'!J26,'2010'!J26,'2011'!J26,'2012'!J26,'2013'!J26,'2014'!J26,'2015'!J26,'2016'!J26,'2017'!J26,'2018'!J26,'2019'!J26,'2020'!J26,'2021'!J26,'2022'!J26,'2023'!J26,'2024'!J26,'2025'!J26)</f>
        <v/>
      </c>
      <c r="K26" s="8">
        <f>AVERAGE('1940'!K26,'1941'!K26,'1942'!K26,'1943'!K26,'1944'!K26,'1945'!K26,'1946'!K26,'1947'!K26,'1948'!K26,'1949'!K26,'1950'!K26,'1951'!K26,'1952'!K26,'1953'!K26,'1954'!K26,'1955'!K26,'1956'!K26,'1957'!K26,'1958'!K26,'1959'!K26,'1960'!K26,'1961'!K26,'1962'!K26,'1963'!K26,'1964'!K26,'1965'!K26,'1966'!K26,'1967'!K26,'1968'!K26,'1969'!K26,'1970'!K26,'1971'!K26,'1972'!K26,'1973'!K26,'1974'!K26,'1975'!K26,'1976'!K26,'1977'!K26,'1978'!K26,'1979'!K26,'1980'!K26,'1981'!K26,'1982'!K26,'1983'!K26,'1984'!K26,'1985'!K26,'1986'!K26,'1987'!K26,'1988'!K26,'1989'!K26,'1990'!K26,'1991'!K26,'1992'!K26,'1993'!K26,'1994'!K26,'1995'!K26,'1996'!K26,'1997'!K26,'1998'!K26,'1999'!K26,'2000'!K26,'2001'!K26,'2002'!K26,'2003'!K26,'2004'!K26,'2005'!K26,'2006'!K26,'2007'!K26,'2008'!K26,'2009'!K26,'2010'!K26,'2011'!K26,'2012'!K26,'2013'!K26,'2014'!K26,'2015'!K26,'2016'!K26,'2017'!K26,'2018'!K26,'2019'!K26,'2020'!K26,'2021'!K26,'2022'!K26,'2023'!K26,'2024'!K26,'2025'!K26)</f>
        <v/>
      </c>
      <c r="L26" s="8">
        <f>AVERAGE('1940'!L26,'1941'!L26,'1942'!L26,'1943'!L26,'1944'!L26,'1945'!L26,'1946'!L26,'1947'!L26,'1948'!L26,'1949'!L26,'1950'!L26,'1951'!L26,'1952'!L26,'1953'!L26,'1954'!L26,'1955'!L26,'1956'!L26,'1957'!L26,'1958'!L26,'1959'!L26,'1960'!L26,'1961'!L26,'1962'!L26,'1963'!L26,'1964'!L26,'1965'!L26,'1966'!L26,'1967'!L26,'1968'!L26,'1969'!L26,'1970'!L26,'1971'!L26,'1972'!L26,'1973'!L26,'1974'!L26,'1975'!L26,'1976'!L26,'1977'!L26,'1978'!L26,'1979'!L26,'1980'!L26,'1981'!L26,'1982'!L26,'1983'!L26,'1984'!L26,'1985'!L26,'1986'!L26,'1987'!L26,'1988'!L26,'1989'!L26,'1990'!L26,'1991'!L26,'1992'!L26,'1993'!L26,'1994'!L26,'1995'!L26,'1996'!L26,'1997'!L26,'1998'!L26,'1999'!L26,'2000'!L26,'2001'!L26,'2002'!L26,'2003'!L26,'2004'!L26,'2005'!L26,'2006'!L26,'2007'!L26,'2008'!L26,'2009'!L26,'2010'!L26,'2011'!L26,'2012'!L26,'2013'!L26,'2014'!L26,'2015'!L26,'2016'!L26,'2017'!L26,'2018'!L26,'2019'!L26,'2020'!L26,'2021'!L26,'2022'!L26,'2023'!L26,'2024'!L26,'2025'!L26)</f>
        <v/>
      </c>
      <c r="M26" s="8">
        <f>AVERAGE('1940'!M26,'1941'!M26,'1942'!M26,'1943'!M26,'1944'!M26,'1945'!M26,'1946'!M26,'1947'!M26,'1948'!M26,'1949'!M26,'1950'!M26,'1951'!M26,'1952'!M26,'1953'!M26,'1954'!M26,'1955'!M26,'1956'!M26,'1957'!M26,'1958'!M26,'1959'!M26,'1960'!M26,'1961'!M26,'1962'!M26,'1963'!M26,'1964'!M26,'1965'!M26,'1966'!M26,'1967'!M26,'1968'!M26,'1969'!M26,'1970'!M26,'1971'!M26,'1972'!M26,'1973'!M26,'1974'!M26,'1975'!M26,'1976'!M26,'1977'!M26,'1978'!M26,'1979'!M26,'1980'!M26,'1981'!M26,'1982'!M26,'1983'!M26,'1984'!M26,'1985'!M26,'1986'!M26,'1987'!M26,'1988'!M26,'1989'!M26,'1990'!M26,'1991'!M26,'1992'!M26,'1993'!M26,'1994'!M26,'1995'!M26,'1996'!M26,'1997'!M26,'1998'!M26,'1999'!M26,'2000'!M26,'2001'!M26,'2002'!M26,'2003'!M26,'2004'!M26,'2005'!M26,'2006'!M26,'2007'!M26,'2008'!M26,'2009'!M26,'2010'!M26,'2011'!M26,'2012'!M26,'2013'!M26,'2014'!M26,'2015'!M26,'2016'!M26,'2017'!M26,'2018'!M26,'2019'!M26,'2020'!M26,'2021'!M26,'2022'!M26,'2023'!M26,'2024'!M26,'2025'!M26)</f>
        <v/>
      </c>
      <c r="N26" s="9">
        <f>SUM(B26:M26)</f>
        <v/>
      </c>
    </row>
    <row r="27">
      <c r="A27" s="7" t="inlineStr">
        <is>
          <t>maglom</t>
        </is>
      </c>
      <c r="B27" s="8">
        <f>AVERAGE('1940'!B27,'1941'!B27,'1942'!B27,'1943'!B27,'1944'!B27,'1945'!B27,'1946'!B27,'1947'!B27,'1948'!B27,'1949'!B27,'1950'!B27,'1951'!B27,'1952'!B27,'1953'!B27,'1954'!B27,'1955'!B27,'1956'!B27,'1957'!B27,'1958'!B27,'1959'!B27,'1960'!B27,'1961'!B27,'1962'!B27,'1963'!B27,'1964'!B27,'1965'!B27,'1966'!B27,'1967'!B27,'1968'!B27,'1969'!B27,'1970'!B27,'1971'!B27,'1972'!B27,'1973'!B27,'1974'!B27,'1975'!B27,'1976'!B27,'1977'!B27,'1978'!B27,'1979'!B27,'1980'!B27,'1981'!B27,'1982'!B27,'1983'!B27,'1984'!B27,'1985'!B27,'1986'!B27,'1987'!B27,'1988'!B27,'1989'!B27,'1990'!B27,'1991'!B27,'1992'!B27,'1993'!B27,'1994'!B27,'1995'!B27,'1996'!B27,'1997'!B27,'1998'!B27,'1999'!B27,'2000'!B27,'2001'!B27,'2002'!B27,'2003'!B27,'2004'!B27,'2005'!B27,'2006'!B27,'2007'!B27,'2008'!B27,'2009'!B27,'2010'!B27,'2011'!B27,'2012'!B27,'2013'!B27,'2014'!B27,'2015'!B27,'2016'!B27,'2017'!B27,'2018'!B27,'2019'!B27,'2020'!B27,'2021'!B27,'2022'!B27,'2023'!B27,'2024'!B27,'2025'!B27)</f>
        <v/>
      </c>
      <c r="C27" s="8">
        <f>AVERAGE('1940'!C27,'1941'!C27,'1942'!C27,'1943'!C27,'1944'!C27,'1945'!C27,'1946'!C27,'1947'!C27,'1948'!C27,'1949'!C27,'1950'!C27,'1951'!C27,'1952'!C27,'1953'!C27,'1954'!C27,'1955'!C27,'1956'!C27,'1957'!C27,'1958'!C27,'1959'!C27,'1960'!C27,'1961'!C27,'1962'!C27,'1963'!C27,'1964'!C27,'1965'!C27,'1966'!C27,'1967'!C27,'1968'!C27,'1969'!C27,'1970'!C27,'1971'!C27,'1972'!C27,'1973'!C27,'1974'!C27,'1975'!C27,'1976'!C27,'1977'!C27,'1978'!C27,'1979'!C27,'1980'!C27,'1981'!C27,'1982'!C27,'1983'!C27,'1984'!C27,'1985'!C27,'1986'!C27,'1987'!C27,'1988'!C27,'1989'!C27,'1990'!C27,'1991'!C27,'1992'!C27,'1993'!C27,'1994'!C27,'1995'!C27,'1996'!C27,'1997'!C27,'1998'!C27,'1999'!C27,'2000'!C27,'2001'!C27,'2002'!C27,'2003'!C27,'2004'!C27,'2005'!C27,'2006'!C27,'2007'!C27,'2008'!C27,'2009'!C27,'2010'!C27,'2011'!C27,'2012'!C27,'2013'!C27,'2014'!C27,'2015'!C27,'2016'!C27,'2017'!C27,'2018'!C27,'2019'!C27,'2020'!C27,'2021'!C27,'2022'!C27,'2023'!C27,'2024'!C27,'2025'!C27)</f>
        <v/>
      </c>
      <c r="D27" s="8">
        <f>AVERAGE('1940'!D27,'1941'!D27,'1942'!D27,'1943'!D27,'1944'!D27,'1945'!D27,'1946'!D27,'1947'!D27,'1948'!D27,'1949'!D27,'1950'!D27,'1951'!D27,'1952'!D27,'1953'!D27,'1954'!D27,'1955'!D27,'1956'!D27,'1957'!D27,'1958'!D27,'1959'!D27,'1960'!D27,'1961'!D27,'1962'!D27,'1963'!D27,'1964'!D27,'1965'!D27,'1966'!D27,'1967'!D27,'1968'!D27,'1969'!D27,'1970'!D27,'1971'!D27,'1972'!D27,'1973'!D27,'1974'!D27,'1975'!D27,'1976'!D27,'1977'!D27,'1978'!D27,'1979'!D27,'1980'!D27,'1981'!D27,'1982'!D27,'1983'!D27,'1984'!D27,'1985'!D27,'1986'!D27,'1987'!D27,'1988'!D27,'1989'!D27,'1990'!D27,'1991'!D27,'1992'!D27,'1993'!D27,'1994'!D27,'1995'!D27,'1996'!D27,'1997'!D27,'1998'!D27,'1999'!D27,'2000'!D27,'2001'!D27,'2002'!D27,'2003'!D27,'2004'!D27,'2005'!D27,'2006'!D27,'2007'!D27,'2008'!D27,'2009'!D27,'2010'!D27,'2011'!D27,'2012'!D27,'2013'!D27,'2014'!D27,'2015'!D27,'2016'!D27,'2017'!D27,'2018'!D27,'2019'!D27,'2020'!D27,'2021'!D27,'2022'!D27,'2023'!D27,'2024'!D27,'2025'!D27)</f>
        <v/>
      </c>
      <c r="E27" s="8">
        <f>AVERAGE('1940'!E27,'1941'!E27,'1942'!E27,'1943'!E27,'1944'!E27,'1945'!E27,'1946'!E27,'1947'!E27,'1948'!E27,'1949'!E27,'1950'!E27,'1951'!E27,'1952'!E27,'1953'!E27,'1954'!E27,'1955'!E27,'1956'!E27,'1957'!E27,'1958'!E27,'1959'!E27,'1960'!E27,'1961'!E27,'1962'!E27,'1963'!E27,'1964'!E27,'1965'!E27,'1966'!E27,'1967'!E27,'1968'!E27,'1969'!E27,'1970'!E27,'1971'!E27,'1972'!E27,'1973'!E27,'1974'!E27,'1975'!E27,'1976'!E27,'1977'!E27,'1978'!E27,'1979'!E27,'1980'!E27,'1981'!E27,'1982'!E27,'1983'!E27,'1984'!E27,'1985'!E27,'1986'!E27,'1987'!E27,'1988'!E27,'1989'!E27,'1990'!E27,'1991'!E27,'1992'!E27,'1993'!E27,'1994'!E27,'1995'!E27,'1996'!E27,'1997'!E27,'1998'!E27,'1999'!E27,'2000'!E27,'2001'!E27,'2002'!E27,'2003'!E27,'2004'!E27,'2005'!E27,'2006'!E27,'2007'!E27,'2008'!E27,'2009'!E27,'2010'!E27,'2011'!E27,'2012'!E27,'2013'!E27,'2014'!E27,'2015'!E27,'2016'!E27,'2017'!E27,'2018'!E27,'2019'!E27,'2020'!E27,'2021'!E27,'2022'!E27,'2023'!E27,'2024'!E27,'2025'!E27)</f>
        <v/>
      </c>
      <c r="F27" s="8">
        <f>AVERAGE('1940'!F27,'1941'!F27,'1942'!F27,'1943'!F27,'1944'!F27,'1945'!F27,'1946'!F27,'1947'!F27,'1948'!F27,'1949'!F27,'1950'!F27,'1951'!F27,'1952'!F27,'1953'!F27,'1954'!F27,'1955'!F27,'1956'!F27,'1957'!F27,'1958'!F27,'1959'!F27,'1960'!F27,'1961'!F27,'1962'!F27,'1963'!F27,'1964'!F27,'1965'!F27,'1966'!F27,'1967'!F27,'1968'!F27,'1969'!F27,'1970'!F27,'1971'!F27,'1972'!F27,'1973'!F27,'1974'!F27,'1975'!F27,'1976'!F27,'1977'!F27,'1978'!F27,'1979'!F27,'1980'!F27,'1981'!F27,'1982'!F27,'1983'!F27,'1984'!F27,'1985'!F27,'1986'!F27,'1987'!F27,'1988'!F27,'1989'!F27,'1990'!F27,'1991'!F27,'1992'!F27,'1993'!F27,'1994'!F27,'1995'!F27,'1996'!F27,'1997'!F27,'1998'!F27,'1999'!F27,'2000'!F27,'2001'!F27,'2002'!F27,'2003'!F27,'2004'!F27,'2005'!F27,'2006'!F27,'2007'!F27,'2008'!F27,'2009'!F27,'2010'!F27,'2011'!F27,'2012'!F27,'2013'!F27,'2014'!F27,'2015'!F27,'2016'!F27,'2017'!F27,'2018'!F27,'2019'!F27,'2020'!F27,'2021'!F27,'2022'!F27,'2023'!F27,'2024'!F27,'2025'!F27)</f>
        <v/>
      </c>
      <c r="G27" s="8">
        <f>AVERAGE('1940'!G27,'1941'!G27,'1942'!G27,'1943'!G27,'1944'!G27,'1945'!G27,'1946'!G27,'1947'!G27,'1948'!G27,'1949'!G27,'1950'!G27,'1951'!G27,'1952'!G27,'1953'!G27,'1954'!G27,'1955'!G27,'1956'!G27,'1957'!G27,'1958'!G27,'1959'!G27,'1960'!G27,'1961'!G27,'1962'!G27,'1963'!G27,'1964'!G27,'1965'!G27,'1966'!G27,'1967'!G27,'1968'!G27,'1969'!G27,'1970'!G27,'1971'!G27,'1972'!G27,'1973'!G27,'1974'!G27,'1975'!G27,'1976'!G27,'1977'!G27,'1978'!G27,'1979'!G27,'1980'!G27,'1981'!G27,'1982'!G27,'1983'!G27,'1984'!G27,'1985'!G27,'1986'!G27,'1987'!G27,'1988'!G27,'1989'!G27,'1990'!G27,'1991'!G27,'1992'!G27,'1993'!G27,'1994'!G27,'1995'!G27,'1996'!G27,'1997'!G27,'1998'!G27,'1999'!G27,'2000'!G27,'2001'!G27,'2002'!G27,'2003'!G27,'2004'!G27,'2005'!G27,'2006'!G27,'2007'!G27,'2008'!G27,'2009'!G27,'2010'!G27,'2011'!G27,'2012'!G27,'2013'!G27,'2014'!G27,'2015'!G27,'2016'!G27,'2017'!G27,'2018'!G27,'2019'!G27,'2020'!G27,'2021'!G27,'2022'!G27,'2023'!G27,'2024'!G27,'2025'!G27)</f>
        <v/>
      </c>
      <c r="H27" s="8">
        <f>AVERAGE('1940'!H27,'1941'!H27,'1942'!H27,'1943'!H27,'1944'!H27,'1945'!H27,'1946'!H27,'1947'!H27,'1948'!H27,'1949'!H27,'1950'!H27,'1951'!H27,'1952'!H27,'1953'!H27,'1954'!H27,'1955'!H27,'1956'!H27,'1957'!H27,'1958'!H27,'1959'!H27,'1960'!H27,'1961'!H27,'1962'!H27,'1963'!H27,'1964'!H27,'1965'!H27,'1966'!H27,'1967'!H27,'1968'!H27,'1969'!H27,'1970'!H27,'1971'!H27,'1972'!H27,'1973'!H27,'1974'!H27,'1975'!H27,'1976'!H27,'1977'!H27,'1978'!H27,'1979'!H27,'1980'!H27,'1981'!H27,'1982'!H27,'1983'!H27,'1984'!H27,'1985'!H27,'1986'!H27,'1987'!H27,'1988'!H27,'1989'!H27,'1990'!H27,'1991'!H27,'1992'!H27,'1993'!H27,'1994'!H27,'1995'!H27,'1996'!H27,'1997'!H27,'1998'!H27,'1999'!H27,'2000'!H27,'2001'!H27,'2002'!H27,'2003'!H27,'2004'!H27,'2005'!H27,'2006'!H27,'2007'!H27,'2008'!H27,'2009'!H27,'2010'!H27,'2011'!H27,'2012'!H27,'2013'!H27,'2014'!H27,'2015'!H27,'2016'!H27,'2017'!H27,'2018'!H27,'2019'!H27,'2020'!H27,'2021'!H27,'2022'!H27,'2023'!H27,'2024'!H27,'2025'!H27)</f>
        <v/>
      </c>
      <c r="I27" s="8">
        <f>AVERAGE('1940'!I27,'1941'!I27,'1942'!I27,'1943'!I27,'1944'!I27,'1945'!I27,'1946'!I27,'1947'!I27,'1948'!I27,'1949'!I27,'1950'!I27,'1951'!I27,'1952'!I27,'1953'!I27,'1954'!I27,'1955'!I27,'1956'!I27,'1957'!I27,'1958'!I27,'1959'!I27,'1960'!I27,'1961'!I27,'1962'!I27,'1963'!I27,'1964'!I27,'1965'!I27,'1966'!I27,'1967'!I27,'1968'!I27,'1969'!I27,'1970'!I27,'1971'!I27,'1972'!I27,'1973'!I27,'1974'!I27,'1975'!I27,'1976'!I27,'1977'!I27,'1978'!I27,'1979'!I27,'1980'!I27,'1981'!I27,'1982'!I27,'1983'!I27,'1984'!I27,'1985'!I27,'1986'!I27,'1987'!I27,'1988'!I27,'1989'!I27,'1990'!I27,'1991'!I27,'1992'!I27,'1993'!I27,'1994'!I27,'1995'!I27,'1996'!I27,'1997'!I27,'1998'!I27,'1999'!I27,'2000'!I27,'2001'!I27,'2002'!I27,'2003'!I27,'2004'!I27,'2005'!I27,'2006'!I27,'2007'!I27,'2008'!I27,'2009'!I27,'2010'!I27,'2011'!I27,'2012'!I27,'2013'!I27,'2014'!I27,'2015'!I27,'2016'!I27,'2017'!I27,'2018'!I27,'2019'!I27,'2020'!I27,'2021'!I27,'2022'!I27,'2023'!I27,'2024'!I27,'2025'!I27)</f>
        <v/>
      </c>
      <c r="J27" s="8">
        <f>AVERAGE('1940'!J27,'1941'!J27,'1942'!J27,'1943'!J27,'1944'!J27,'1945'!J27,'1946'!J27,'1947'!J27,'1948'!J27,'1949'!J27,'1950'!J27,'1951'!J27,'1952'!J27,'1953'!J27,'1954'!J27,'1955'!J27,'1956'!J27,'1957'!J27,'1958'!J27,'1959'!J27,'1960'!J27,'1961'!J27,'1962'!J27,'1963'!J27,'1964'!J27,'1965'!J27,'1966'!J27,'1967'!J27,'1968'!J27,'1969'!J27,'1970'!J27,'1971'!J27,'1972'!J27,'1973'!J27,'1974'!J27,'1975'!J27,'1976'!J27,'1977'!J27,'1978'!J27,'1979'!J27,'1980'!J27,'1981'!J27,'1982'!J27,'1983'!J27,'1984'!J27,'1985'!J27,'1986'!J27,'1987'!J27,'1988'!J27,'1989'!J27,'1990'!J27,'1991'!J27,'1992'!J27,'1993'!J27,'1994'!J27,'1995'!J27,'1996'!J27,'1997'!J27,'1998'!J27,'1999'!J27,'2000'!J27,'2001'!J27,'2002'!J27,'2003'!J27,'2004'!J27,'2005'!J27,'2006'!J27,'2007'!J27,'2008'!J27,'2009'!J27,'2010'!J27,'2011'!J27,'2012'!J27,'2013'!J27,'2014'!J27,'2015'!J27,'2016'!J27,'2017'!J27,'2018'!J27,'2019'!J27,'2020'!J27,'2021'!J27,'2022'!J27,'2023'!J27,'2024'!J27,'2025'!J27)</f>
        <v/>
      </c>
      <c r="K27" s="8">
        <f>AVERAGE('1940'!K27,'1941'!K27,'1942'!K27,'1943'!K27,'1944'!K27,'1945'!K27,'1946'!K27,'1947'!K27,'1948'!K27,'1949'!K27,'1950'!K27,'1951'!K27,'1952'!K27,'1953'!K27,'1954'!K27,'1955'!K27,'1956'!K27,'1957'!K27,'1958'!K27,'1959'!K27,'1960'!K27,'1961'!K27,'1962'!K27,'1963'!K27,'1964'!K27,'1965'!K27,'1966'!K27,'1967'!K27,'1968'!K27,'1969'!K27,'1970'!K27,'1971'!K27,'1972'!K27,'1973'!K27,'1974'!K27,'1975'!K27,'1976'!K27,'1977'!K27,'1978'!K27,'1979'!K27,'1980'!K27,'1981'!K27,'1982'!K27,'1983'!K27,'1984'!K27,'1985'!K27,'1986'!K27,'1987'!K27,'1988'!K27,'1989'!K27,'1990'!K27,'1991'!K27,'1992'!K27,'1993'!K27,'1994'!K27,'1995'!K27,'1996'!K27,'1997'!K27,'1998'!K27,'1999'!K27,'2000'!K27,'2001'!K27,'2002'!K27,'2003'!K27,'2004'!K27,'2005'!K27,'2006'!K27,'2007'!K27,'2008'!K27,'2009'!K27,'2010'!K27,'2011'!K27,'2012'!K27,'2013'!K27,'2014'!K27,'2015'!K27,'2016'!K27,'2017'!K27,'2018'!K27,'2019'!K27,'2020'!K27,'2021'!K27,'2022'!K27,'2023'!K27,'2024'!K27,'2025'!K27)</f>
        <v/>
      </c>
      <c r="L27" s="8">
        <f>AVERAGE('1940'!L27,'1941'!L27,'1942'!L27,'1943'!L27,'1944'!L27,'1945'!L27,'1946'!L27,'1947'!L27,'1948'!L27,'1949'!L27,'1950'!L27,'1951'!L27,'1952'!L27,'1953'!L27,'1954'!L27,'1955'!L27,'1956'!L27,'1957'!L27,'1958'!L27,'1959'!L27,'1960'!L27,'1961'!L27,'1962'!L27,'1963'!L27,'1964'!L27,'1965'!L27,'1966'!L27,'1967'!L27,'1968'!L27,'1969'!L27,'1970'!L27,'1971'!L27,'1972'!L27,'1973'!L27,'1974'!L27,'1975'!L27,'1976'!L27,'1977'!L27,'1978'!L27,'1979'!L27,'1980'!L27,'1981'!L27,'1982'!L27,'1983'!L27,'1984'!L27,'1985'!L27,'1986'!L27,'1987'!L27,'1988'!L27,'1989'!L27,'1990'!L27,'1991'!L27,'1992'!L27,'1993'!L27,'1994'!L27,'1995'!L27,'1996'!L27,'1997'!L27,'1998'!L27,'1999'!L27,'2000'!L27,'2001'!L27,'2002'!L27,'2003'!L27,'2004'!L27,'2005'!L27,'2006'!L27,'2007'!L27,'2008'!L27,'2009'!L27,'2010'!L27,'2011'!L27,'2012'!L27,'2013'!L27,'2014'!L27,'2015'!L27,'2016'!L27,'2017'!L27,'2018'!L27,'2019'!L27,'2020'!L27,'2021'!L27,'2022'!L27,'2023'!L27,'2024'!L27,'2025'!L27)</f>
        <v/>
      </c>
      <c r="M27" s="8">
        <f>AVERAGE('1940'!M27,'1941'!M27,'1942'!M27,'1943'!M27,'1944'!M27,'1945'!M27,'1946'!M27,'1947'!M27,'1948'!M27,'1949'!M27,'1950'!M27,'1951'!M27,'1952'!M27,'1953'!M27,'1954'!M27,'1955'!M27,'1956'!M27,'1957'!M27,'1958'!M27,'1959'!M27,'1960'!M27,'1961'!M27,'1962'!M27,'1963'!M27,'1964'!M27,'1965'!M27,'1966'!M27,'1967'!M27,'1968'!M27,'1969'!M27,'1970'!M27,'1971'!M27,'1972'!M27,'1973'!M27,'1974'!M27,'1975'!M27,'1976'!M27,'1977'!M27,'1978'!M27,'1979'!M27,'1980'!M27,'1981'!M27,'1982'!M27,'1983'!M27,'1984'!M27,'1985'!M27,'1986'!M27,'1987'!M27,'1988'!M27,'1989'!M27,'1990'!M27,'1991'!M27,'1992'!M27,'1993'!M27,'1994'!M27,'1995'!M27,'1996'!M27,'1997'!M27,'1998'!M27,'1999'!M27,'2000'!M27,'2001'!M27,'2002'!M27,'2003'!M27,'2004'!M27,'2005'!M27,'2006'!M27,'2007'!M27,'2008'!M27,'2009'!M27,'2010'!M27,'2011'!M27,'2012'!M27,'2013'!M27,'2014'!M27,'2015'!M27,'2016'!M27,'2017'!M27,'2018'!M27,'2019'!M27,'2020'!M27,'2021'!M27,'2022'!M27,'2023'!M27,'2024'!M27,'2025'!M27)</f>
        <v/>
      </c>
      <c r="N27" s="9">
        <f>SUM(B27:M27)</f>
        <v/>
      </c>
    </row>
    <row r="28">
      <c r="A28" s="7" t="inlineStr">
        <is>
          <t>gradom</t>
        </is>
      </c>
      <c r="B28" s="8">
        <f>AVERAGE('1940'!B28,'1941'!B28,'1942'!B28,'1943'!B28,'1944'!B28,'1945'!B28,'1946'!B28,'1947'!B28,'1948'!B28,'1949'!B28,'1950'!B28,'1951'!B28,'1952'!B28,'1953'!B28,'1954'!B28,'1955'!B28,'1956'!B28,'1957'!B28,'1958'!B28,'1959'!B28,'1960'!B28,'1961'!B28,'1962'!B28,'1963'!B28,'1964'!B28,'1965'!B28,'1966'!B28,'1967'!B28,'1968'!B28,'1969'!B28,'1970'!B28,'1971'!B28,'1972'!B28,'1973'!B28,'1974'!B28,'1975'!B28,'1976'!B28,'1977'!B28,'1978'!B28,'1979'!B28,'1980'!B28,'1981'!B28,'1982'!B28,'1983'!B28,'1984'!B28,'1985'!B28,'1986'!B28,'1987'!B28,'1988'!B28,'1989'!B28,'1990'!B28,'1991'!B28,'1992'!B28,'1993'!B28,'1994'!B28,'1995'!B28,'1996'!B28,'1997'!B28,'1998'!B28,'1999'!B28,'2000'!B28,'2001'!B28,'2002'!B28,'2003'!B28,'2004'!B28,'2005'!B28,'2006'!B28,'2007'!B28,'2008'!B28,'2009'!B28,'2010'!B28,'2011'!B28,'2012'!B28,'2013'!B28,'2014'!B28,'2015'!B28,'2016'!B28,'2017'!B28,'2018'!B28,'2019'!B28,'2020'!B28,'2021'!B28,'2022'!B28,'2023'!B28,'2024'!B28,'2025'!B28)</f>
        <v/>
      </c>
      <c r="C28" s="8">
        <f>AVERAGE('1940'!C28,'1941'!C28,'1942'!C28,'1943'!C28,'1944'!C28,'1945'!C28,'1946'!C28,'1947'!C28,'1948'!C28,'1949'!C28,'1950'!C28,'1951'!C28,'1952'!C28,'1953'!C28,'1954'!C28,'1955'!C28,'1956'!C28,'1957'!C28,'1958'!C28,'1959'!C28,'1960'!C28,'1961'!C28,'1962'!C28,'1963'!C28,'1964'!C28,'1965'!C28,'1966'!C28,'1967'!C28,'1968'!C28,'1969'!C28,'1970'!C28,'1971'!C28,'1972'!C28,'1973'!C28,'1974'!C28,'1975'!C28,'1976'!C28,'1977'!C28,'1978'!C28,'1979'!C28,'1980'!C28,'1981'!C28,'1982'!C28,'1983'!C28,'1984'!C28,'1985'!C28,'1986'!C28,'1987'!C28,'1988'!C28,'1989'!C28,'1990'!C28,'1991'!C28,'1992'!C28,'1993'!C28,'1994'!C28,'1995'!C28,'1996'!C28,'1997'!C28,'1998'!C28,'1999'!C28,'2000'!C28,'2001'!C28,'2002'!C28,'2003'!C28,'2004'!C28,'2005'!C28,'2006'!C28,'2007'!C28,'2008'!C28,'2009'!C28,'2010'!C28,'2011'!C28,'2012'!C28,'2013'!C28,'2014'!C28,'2015'!C28,'2016'!C28,'2017'!C28,'2018'!C28,'2019'!C28,'2020'!C28,'2021'!C28,'2022'!C28,'2023'!C28,'2024'!C28,'2025'!C28)</f>
        <v/>
      </c>
      <c r="D28" s="8">
        <f>AVERAGE('1940'!D28,'1941'!D28,'1942'!D28,'1943'!D28,'1944'!D28,'1945'!D28,'1946'!D28,'1947'!D28,'1948'!D28,'1949'!D28,'1950'!D28,'1951'!D28,'1952'!D28,'1953'!D28,'1954'!D28,'1955'!D28,'1956'!D28,'1957'!D28,'1958'!D28,'1959'!D28,'1960'!D28,'1961'!D28,'1962'!D28,'1963'!D28,'1964'!D28,'1965'!D28,'1966'!D28,'1967'!D28,'1968'!D28,'1969'!D28,'1970'!D28,'1971'!D28,'1972'!D28,'1973'!D28,'1974'!D28,'1975'!D28,'1976'!D28,'1977'!D28,'1978'!D28,'1979'!D28,'1980'!D28,'1981'!D28,'1982'!D28,'1983'!D28,'1984'!D28,'1985'!D28,'1986'!D28,'1987'!D28,'1988'!D28,'1989'!D28,'1990'!D28,'1991'!D28,'1992'!D28,'1993'!D28,'1994'!D28,'1995'!D28,'1996'!D28,'1997'!D28,'1998'!D28,'1999'!D28,'2000'!D28,'2001'!D28,'2002'!D28,'2003'!D28,'2004'!D28,'2005'!D28,'2006'!D28,'2007'!D28,'2008'!D28,'2009'!D28,'2010'!D28,'2011'!D28,'2012'!D28,'2013'!D28,'2014'!D28,'2015'!D28,'2016'!D28,'2017'!D28,'2018'!D28,'2019'!D28,'2020'!D28,'2021'!D28,'2022'!D28,'2023'!D28,'2024'!D28,'2025'!D28)</f>
        <v/>
      </c>
      <c r="E28" s="8">
        <f>AVERAGE('1940'!E28,'1941'!E28,'1942'!E28,'1943'!E28,'1944'!E28,'1945'!E28,'1946'!E28,'1947'!E28,'1948'!E28,'1949'!E28,'1950'!E28,'1951'!E28,'1952'!E28,'1953'!E28,'1954'!E28,'1955'!E28,'1956'!E28,'1957'!E28,'1958'!E28,'1959'!E28,'1960'!E28,'1961'!E28,'1962'!E28,'1963'!E28,'1964'!E28,'1965'!E28,'1966'!E28,'1967'!E28,'1968'!E28,'1969'!E28,'1970'!E28,'1971'!E28,'1972'!E28,'1973'!E28,'1974'!E28,'1975'!E28,'1976'!E28,'1977'!E28,'1978'!E28,'1979'!E28,'1980'!E28,'1981'!E28,'1982'!E28,'1983'!E28,'1984'!E28,'1985'!E28,'1986'!E28,'1987'!E28,'1988'!E28,'1989'!E28,'1990'!E28,'1991'!E28,'1992'!E28,'1993'!E28,'1994'!E28,'1995'!E28,'1996'!E28,'1997'!E28,'1998'!E28,'1999'!E28,'2000'!E28,'2001'!E28,'2002'!E28,'2003'!E28,'2004'!E28,'2005'!E28,'2006'!E28,'2007'!E28,'2008'!E28,'2009'!E28,'2010'!E28,'2011'!E28,'2012'!E28,'2013'!E28,'2014'!E28,'2015'!E28,'2016'!E28,'2017'!E28,'2018'!E28,'2019'!E28,'2020'!E28,'2021'!E28,'2022'!E28,'2023'!E28,'2024'!E28,'2025'!E28)</f>
        <v/>
      </c>
      <c r="F28" s="8">
        <f>AVERAGE('1940'!F28,'1941'!F28,'1942'!F28,'1943'!F28,'1944'!F28,'1945'!F28,'1946'!F28,'1947'!F28,'1948'!F28,'1949'!F28,'1950'!F28,'1951'!F28,'1952'!F28,'1953'!F28,'1954'!F28,'1955'!F28,'1956'!F28,'1957'!F28,'1958'!F28,'1959'!F28,'1960'!F28,'1961'!F28,'1962'!F28,'1963'!F28,'1964'!F28,'1965'!F28,'1966'!F28,'1967'!F28,'1968'!F28,'1969'!F28,'1970'!F28,'1971'!F28,'1972'!F28,'1973'!F28,'1974'!F28,'1975'!F28,'1976'!F28,'1977'!F28,'1978'!F28,'1979'!F28,'1980'!F28,'1981'!F28,'1982'!F28,'1983'!F28,'1984'!F28,'1985'!F28,'1986'!F28,'1987'!F28,'1988'!F28,'1989'!F28,'1990'!F28,'1991'!F28,'1992'!F28,'1993'!F28,'1994'!F28,'1995'!F28,'1996'!F28,'1997'!F28,'1998'!F28,'1999'!F28,'2000'!F28,'2001'!F28,'2002'!F28,'2003'!F28,'2004'!F28,'2005'!F28,'2006'!F28,'2007'!F28,'2008'!F28,'2009'!F28,'2010'!F28,'2011'!F28,'2012'!F28,'2013'!F28,'2014'!F28,'2015'!F28,'2016'!F28,'2017'!F28,'2018'!F28,'2019'!F28,'2020'!F28,'2021'!F28,'2022'!F28,'2023'!F28,'2024'!F28,'2025'!F28)</f>
        <v/>
      </c>
      <c r="G28" s="8">
        <f>AVERAGE('1940'!G28,'1941'!G28,'1942'!G28,'1943'!G28,'1944'!G28,'1945'!G28,'1946'!G28,'1947'!G28,'1948'!G28,'1949'!G28,'1950'!G28,'1951'!G28,'1952'!G28,'1953'!G28,'1954'!G28,'1955'!G28,'1956'!G28,'1957'!G28,'1958'!G28,'1959'!G28,'1960'!G28,'1961'!G28,'1962'!G28,'1963'!G28,'1964'!G28,'1965'!G28,'1966'!G28,'1967'!G28,'1968'!G28,'1969'!G28,'1970'!G28,'1971'!G28,'1972'!G28,'1973'!G28,'1974'!G28,'1975'!G28,'1976'!G28,'1977'!G28,'1978'!G28,'1979'!G28,'1980'!G28,'1981'!G28,'1982'!G28,'1983'!G28,'1984'!G28,'1985'!G28,'1986'!G28,'1987'!G28,'1988'!G28,'1989'!G28,'1990'!G28,'1991'!G28,'1992'!G28,'1993'!G28,'1994'!G28,'1995'!G28,'1996'!G28,'1997'!G28,'1998'!G28,'1999'!G28,'2000'!G28,'2001'!G28,'2002'!G28,'2003'!G28,'2004'!G28,'2005'!G28,'2006'!G28,'2007'!G28,'2008'!G28,'2009'!G28,'2010'!G28,'2011'!G28,'2012'!G28,'2013'!G28,'2014'!G28,'2015'!G28,'2016'!G28,'2017'!G28,'2018'!G28,'2019'!G28,'2020'!G28,'2021'!G28,'2022'!G28,'2023'!G28,'2024'!G28,'2025'!G28)</f>
        <v/>
      </c>
      <c r="H28" s="8">
        <f>AVERAGE('1940'!H28,'1941'!H28,'1942'!H28,'1943'!H28,'1944'!H28,'1945'!H28,'1946'!H28,'1947'!H28,'1948'!H28,'1949'!H28,'1950'!H28,'1951'!H28,'1952'!H28,'1953'!H28,'1954'!H28,'1955'!H28,'1956'!H28,'1957'!H28,'1958'!H28,'1959'!H28,'1960'!H28,'1961'!H28,'1962'!H28,'1963'!H28,'1964'!H28,'1965'!H28,'1966'!H28,'1967'!H28,'1968'!H28,'1969'!H28,'1970'!H28,'1971'!H28,'1972'!H28,'1973'!H28,'1974'!H28,'1975'!H28,'1976'!H28,'1977'!H28,'1978'!H28,'1979'!H28,'1980'!H28,'1981'!H28,'1982'!H28,'1983'!H28,'1984'!H28,'1985'!H28,'1986'!H28,'1987'!H28,'1988'!H28,'1989'!H28,'1990'!H28,'1991'!H28,'1992'!H28,'1993'!H28,'1994'!H28,'1995'!H28,'1996'!H28,'1997'!H28,'1998'!H28,'1999'!H28,'2000'!H28,'2001'!H28,'2002'!H28,'2003'!H28,'2004'!H28,'2005'!H28,'2006'!H28,'2007'!H28,'2008'!H28,'2009'!H28,'2010'!H28,'2011'!H28,'2012'!H28,'2013'!H28,'2014'!H28,'2015'!H28,'2016'!H28,'2017'!H28,'2018'!H28,'2019'!H28,'2020'!H28,'2021'!H28,'2022'!H28,'2023'!H28,'2024'!H28,'2025'!H28)</f>
        <v/>
      </c>
      <c r="I28" s="8">
        <f>AVERAGE('1940'!I28,'1941'!I28,'1942'!I28,'1943'!I28,'1944'!I28,'1945'!I28,'1946'!I28,'1947'!I28,'1948'!I28,'1949'!I28,'1950'!I28,'1951'!I28,'1952'!I28,'1953'!I28,'1954'!I28,'1955'!I28,'1956'!I28,'1957'!I28,'1958'!I28,'1959'!I28,'1960'!I28,'1961'!I28,'1962'!I28,'1963'!I28,'1964'!I28,'1965'!I28,'1966'!I28,'1967'!I28,'1968'!I28,'1969'!I28,'1970'!I28,'1971'!I28,'1972'!I28,'1973'!I28,'1974'!I28,'1975'!I28,'1976'!I28,'1977'!I28,'1978'!I28,'1979'!I28,'1980'!I28,'1981'!I28,'1982'!I28,'1983'!I28,'1984'!I28,'1985'!I28,'1986'!I28,'1987'!I28,'1988'!I28,'1989'!I28,'1990'!I28,'1991'!I28,'1992'!I28,'1993'!I28,'1994'!I28,'1995'!I28,'1996'!I28,'1997'!I28,'1998'!I28,'1999'!I28,'2000'!I28,'2001'!I28,'2002'!I28,'2003'!I28,'2004'!I28,'2005'!I28,'2006'!I28,'2007'!I28,'2008'!I28,'2009'!I28,'2010'!I28,'2011'!I28,'2012'!I28,'2013'!I28,'2014'!I28,'2015'!I28,'2016'!I28,'2017'!I28,'2018'!I28,'2019'!I28,'2020'!I28,'2021'!I28,'2022'!I28,'2023'!I28,'2024'!I28,'2025'!I28)</f>
        <v/>
      </c>
      <c r="J28" s="8">
        <f>AVERAGE('1940'!J28,'1941'!J28,'1942'!J28,'1943'!J28,'1944'!J28,'1945'!J28,'1946'!J28,'1947'!J28,'1948'!J28,'1949'!J28,'1950'!J28,'1951'!J28,'1952'!J28,'1953'!J28,'1954'!J28,'1955'!J28,'1956'!J28,'1957'!J28,'1958'!J28,'1959'!J28,'1960'!J28,'1961'!J28,'1962'!J28,'1963'!J28,'1964'!J28,'1965'!J28,'1966'!J28,'1967'!J28,'1968'!J28,'1969'!J28,'1970'!J28,'1971'!J28,'1972'!J28,'1973'!J28,'1974'!J28,'1975'!J28,'1976'!J28,'1977'!J28,'1978'!J28,'1979'!J28,'1980'!J28,'1981'!J28,'1982'!J28,'1983'!J28,'1984'!J28,'1985'!J28,'1986'!J28,'1987'!J28,'1988'!J28,'1989'!J28,'1990'!J28,'1991'!J28,'1992'!J28,'1993'!J28,'1994'!J28,'1995'!J28,'1996'!J28,'1997'!J28,'1998'!J28,'1999'!J28,'2000'!J28,'2001'!J28,'2002'!J28,'2003'!J28,'2004'!J28,'2005'!J28,'2006'!J28,'2007'!J28,'2008'!J28,'2009'!J28,'2010'!J28,'2011'!J28,'2012'!J28,'2013'!J28,'2014'!J28,'2015'!J28,'2016'!J28,'2017'!J28,'2018'!J28,'2019'!J28,'2020'!J28,'2021'!J28,'2022'!J28,'2023'!J28,'2024'!J28,'2025'!J28)</f>
        <v/>
      </c>
      <c r="K28" s="8">
        <f>AVERAGE('1940'!K28,'1941'!K28,'1942'!K28,'1943'!K28,'1944'!K28,'1945'!K28,'1946'!K28,'1947'!K28,'1948'!K28,'1949'!K28,'1950'!K28,'1951'!K28,'1952'!K28,'1953'!K28,'1954'!K28,'1955'!K28,'1956'!K28,'1957'!K28,'1958'!K28,'1959'!K28,'1960'!K28,'1961'!K28,'1962'!K28,'1963'!K28,'1964'!K28,'1965'!K28,'1966'!K28,'1967'!K28,'1968'!K28,'1969'!K28,'1970'!K28,'1971'!K28,'1972'!K28,'1973'!K28,'1974'!K28,'1975'!K28,'1976'!K28,'1977'!K28,'1978'!K28,'1979'!K28,'1980'!K28,'1981'!K28,'1982'!K28,'1983'!K28,'1984'!K28,'1985'!K28,'1986'!K28,'1987'!K28,'1988'!K28,'1989'!K28,'1990'!K28,'1991'!K28,'1992'!K28,'1993'!K28,'1994'!K28,'1995'!K28,'1996'!K28,'1997'!K28,'1998'!K28,'1999'!K28,'2000'!K28,'2001'!K28,'2002'!K28,'2003'!K28,'2004'!K28,'2005'!K28,'2006'!K28,'2007'!K28,'2008'!K28,'2009'!K28,'2010'!K28,'2011'!K28,'2012'!K28,'2013'!K28,'2014'!K28,'2015'!K28,'2016'!K28,'2017'!K28,'2018'!K28,'2019'!K28,'2020'!K28,'2021'!K28,'2022'!K28,'2023'!K28,'2024'!K28,'2025'!K28)</f>
        <v/>
      </c>
      <c r="L28" s="8">
        <f>AVERAGE('1940'!L28,'1941'!L28,'1942'!L28,'1943'!L28,'1944'!L28,'1945'!L28,'1946'!L28,'1947'!L28,'1948'!L28,'1949'!L28,'1950'!L28,'1951'!L28,'1952'!L28,'1953'!L28,'1954'!L28,'1955'!L28,'1956'!L28,'1957'!L28,'1958'!L28,'1959'!L28,'1960'!L28,'1961'!L28,'1962'!L28,'1963'!L28,'1964'!L28,'1965'!L28,'1966'!L28,'1967'!L28,'1968'!L28,'1969'!L28,'1970'!L28,'1971'!L28,'1972'!L28,'1973'!L28,'1974'!L28,'1975'!L28,'1976'!L28,'1977'!L28,'1978'!L28,'1979'!L28,'1980'!L28,'1981'!L28,'1982'!L28,'1983'!L28,'1984'!L28,'1985'!L28,'1986'!L28,'1987'!L28,'1988'!L28,'1989'!L28,'1990'!L28,'1991'!L28,'1992'!L28,'1993'!L28,'1994'!L28,'1995'!L28,'1996'!L28,'1997'!L28,'1998'!L28,'1999'!L28,'2000'!L28,'2001'!L28,'2002'!L28,'2003'!L28,'2004'!L28,'2005'!L28,'2006'!L28,'2007'!L28,'2008'!L28,'2009'!L28,'2010'!L28,'2011'!L28,'2012'!L28,'2013'!L28,'2014'!L28,'2015'!L28,'2016'!L28,'2017'!L28,'2018'!L28,'2019'!L28,'2020'!L28,'2021'!L28,'2022'!L28,'2023'!L28,'2024'!L28,'2025'!L28)</f>
        <v/>
      </c>
      <c r="M28" s="8">
        <f>AVERAGE('1940'!M28,'1941'!M28,'1942'!M28,'1943'!M28,'1944'!M28,'1945'!M28,'1946'!M28,'1947'!M28,'1948'!M28,'1949'!M28,'1950'!M28,'1951'!M28,'1952'!M28,'1953'!M28,'1954'!M28,'1955'!M28,'1956'!M28,'1957'!M28,'1958'!M28,'1959'!M28,'1960'!M28,'1961'!M28,'1962'!M28,'1963'!M28,'1964'!M28,'1965'!M28,'1966'!M28,'1967'!M28,'1968'!M28,'1969'!M28,'1970'!M28,'1971'!M28,'1972'!M28,'1973'!M28,'1974'!M28,'1975'!M28,'1976'!M28,'1977'!M28,'1978'!M28,'1979'!M28,'1980'!M28,'1981'!M28,'1982'!M28,'1983'!M28,'1984'!M28,'1985'!M28,'1986'!M28,'1987'!M28,'1988'!M28,'1989'!M28,'1990'!M28,'1991'!M28,'1992'!M28,'1993'!M28,'1994'!M28,'1995'!M28,'1996'!M28,'1997'!M28,'1998'!M28,'1999'!M28,'2000'!M28,'2001'!M28,'2002'!M28,'2003'!M28,'2004'!M28,'2005'!M28,'2006'!M28,'2007'!M28,'2008'!M28,'2009'!M28,'2010'!M28,'2011'!M28,'2012'!M28,'2013'!M28,'2014'!M28,'2015'!M28,'2016'!M28,'2017'!M28,'2018'!M28,'2019'!M28,'2020'!M28,'2021'!M28,'2022'!M28,'2023'!M28,'2024'!M28,'2025'!M28)</f>
        <v/>
      </c>
      <c r="N28" s="9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1940.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-1.2</v>
      </c>
      <c r="C6" s="8" t="n">
        <v>3.6</v>
      </c>
      <c r="D6" s="8" t="n">
        <v>5.6</v>
      </c>
      <c r="E6" s="8" t="n">
        <v>11.5</v>
      </c>
      <c r="F6" s="8" t="n">
        <v>16.3</v>
      </c>
      <c r="G6" s="8" t="n">
        <v>20.2</v>
      </c>
      <c r="H6" s="8" t="n">
        <v>23.8</v>
      </c>
      <c r="I6" s="8" t="n">
        <v>21.9</v>
      </c>
      <c r="J6" s="8" t="n">
        <v>19.8</v>
      </c>
      <c r="K6" s="8" t="n">
        <v>14.7</v>
      </c>
      <c r="L6" s="8" t="n">
        <v>9.9</v>
      </c>
      <c r="M6" s="8" t="n">
        <v>-3.1</v>
      </c>
      <c r="N6" s="9">
        <f>AVERAGE(B6:M6)</f>
        <v/>
      </c>
    </row>
    <row r="7">
      <c r="A7" s="7" t="inlineStr">
        <is>
          <t>Srednja maksimalna</t>
        </is>
      </c>
      <c r="B7" s="8" t="n">
        <v>3.8</v>
      </c>
      <c r="C7" s="8" t="n">
        <v>9.199999999999999</v>
      </c>
      <c r="D7" s="8" t="n">
        <v>10.9</v>
      </c>
      <c r="E7" s="8" t="n">
        <v>17.1</v>
      </c>
      <c r="F7" s="8" t="n">
        <v>21</v>
      </c>
      <c r="G7" s="8" t="n">
        <v>25.1</v>
      </c>
      <c r="H7" s="8" t="n">
        <v>29.8</v>
      </c>
      <c r="I7" s="8" t="n">
        <v>27.9</v>
      </c>
      <c r="J7" s="8" t="n">
        <v>26.5</v>
      </c>
      <c r="K7" s="8" t="n">
        <v>19.6</v>
      </c>
      <c r="L7" s="8" t="n">
        <v>14.4</v>
      </c>
      <c r="M7" s="8" t="n">
        <v>2.1</v>
      </c>
      <c r="N7" s="9">
        <f>AVERAGE(B7:M7)</f>
        <v/>
      </c>
    </row>
    <row r="8">
      <c r="A8" s="7" t="inlineStr">
        <is>
          <t>Srednja minimalna</t>
        </is>
      </c>
      <c r="B8" s="8" t="n">
        <v>-5.9</v>
      </c>
      <c r="C8" s="8" t="n">
        <v>-1.6</v>
      </c>
      <c r="D8" s="8" t="n">
        <v>0.5</v>
      </c>
      <c r="E8" s="8" t="n">
        <v>5.9</v>
      </c>
      <c r="F8" s="8" t="n">
        <v>11.4</v>
      </c>
      <c r="G8" s="8" t="n">
        <v>14.7</v>
      </c>
      <c r="H8" s="8" t="n">
        <v>17.3</v>
      </c>
      <c r="I8" s="8" t="n">
        <v>15.8</v>
      </c>
      <c r="J8" s="8" t="n">
        <v>13.9</v>
      </c>
      <c r="K8" s="8" t="n">
        <v>10.7</v>
      </c>
      <c r="L8" s="8" t="n">
        <v>5.9</v>
      </c>
      <c r="M8" s="8" t="n">
        <v>-7</v>
      </c>
      <c r="N8" s="9">
        <f>AVERAGE(B8:M8)</f>
        <v/>
      </c>
    </row>
    <row r="9">
      <c r="A9" s="7" t="inlineStr">
        <is>
          <t>Apsolutni maksimum</t>
        </is>
      </c>
      <c r="B9" s="8" t="n">
        <v>9.9</v>
      </c>
      <c r="C9" s="8" t="n">
        <v>16.1</v>
      </c>
      <c r="D9" s="8" t="n">
        <v>19</v>
      </c>
      <c r="E9" s="8" t="n">
        <v>26.7</v>
      </c>
      <c r="F9" s="8" t="n">
        <v>26.8</v>
      </c>
      <c r="G9" s="8" t="n">
        <v>28.4</v>
      </c>
      <c r="H9" s="8" t="n">
        <v>34.6</v>
      </c>
      <c r="I9" s="8" t="n">
        <v>35.1</v>
      </c>
      <c r="J9" s="8" t="n">
        <v>31.2</v>
      </c>
      <c r="K9" s="8" t="n">
        <v>24.5</v>
      </c>
      <c r="L9" s="8" t="n">
        <v>18.2</v>
      </c>
      <c r="M9" s="8" t="n">
        <v>10.7</v>
      </c>
      <c r="N9" s="9">
        <f>MAX(B9:M9)</f>
        <v/>
      </c>
    </row>
    <row r="10">
      <c r="A10" s="7" t="inlineStr">
        <is>
          <t>Apsolutni minimum</t>
        </is>
      </c>
      <c r="B10" s="8" t="n">
        <v>-16.9</v>
      </c>
      <c r="C10" s="8" t="n">
        <v>-9.9</v>
      </c>
      <c r="D10" s="8" t="n">
        <v>-13.2</v>
      </c>
      <c r="E10" s="8" t="n">
        <v>-0.2</v>
      </c>
      <c r="F10" s="8" t="n">
        <v>7</v>
      </c>
      <c r="G10" s="8" t="n">
        <v>12.1</v>
      </c>
      <c r="H10" s="8" t="n">
        <v>12.3</v>
      </c>
      <c r="I10" s="8" t="n">
        <v>11</v>
      </c>
      <c r="J10" s="8" t="n">
        <v>9.199999999999999</v>
      </c>
      <c r="K10" s="8" t="n">
        <v>2.9</v>
      </c>
      <c r="L10" s="8" t="n">
        <v>-1.2</v>
      </c>
      <c r="M10" s="8" t="n">
        <v>-16.5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19</v>
      </c>
      <c r="D11" s="10" t="n">
        <v>14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28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13</v>
      </c>
      <c r="I12" s="10" t="n">
        <v>6</v>
      </c>
      <c r="J12" s="10" t="n">
        <v>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72.40000000000001</v>
      </c>
      <c r="C14" s="8" t="n">
        <v>73.59999999999999</v>
      </c>
      <c r="D14" s="8" t="n">
        <v>68.90000000000001</v>
      </c>
      <c r="E14" s="8" t="n">
        <v>71.90000000000001</v>
      </c>
      <c r="F14" s="8" t="n">
        <v>73</v>
      </c>
      <c r="G14" s="8" t="n">
        <v>69.8</v>
      </c>
      <c r="H14" s="8" t="n">
        <v>59.1</v>
      </c>
      <c r="I14" s="8" t="n">
        <v>55.2</v>
      </c>
      <c r="J14" s="8" t="n">
        <v>60.2</v>
      </c>
      <c r="K14" s="8" t="n">
        <v>80.59999999999999</v>
      </c>
      <c r="L14" s="8" t="n">
        <v>81.59999999999999</v>
      </c>
      <c r="M14" s="8" t="n">
        <v>71.09999999999999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156.9</v>
      </c>
      <c r="C16" s="8" t="n">
        <v>204.9</v>
      </c>
      <c r="D16" s="8" t="n">
        <v>307.6</v>
      </c>
      <c r="E16" s="8" t="n">
        <v>309.6</v>
      </c>
      <c r="F16" s="8" t="n">
        <v>370.7</v>
      </c>
      <c r="G16" s="8" t="n">
        <v>399.8</v>
      </c>
      <c r="H16" s="8" t="n">
        <v>429.8</v>
      </c>
      <c r="I16" s="8" t="n">
        <v>407.4</v>
      </c>
      <c r="J16" s="8" t="n">
        <v>343.7</v>
      </c>
      <c r="K16" s="8" t="n">
        <v>229.2</v>
      </c>
      <c r="L16" s="8" t="n">
        <v>208.3</v>
      </c>
      <c r="M16" s="8" t="n">
        <v>213.2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4</v>
      </c>
      <c r="D17" s="10" t="n">
        <v>7</v>
      </c>
      <c r="E17" s="10" t="n">
        <v>6</v>
      </c>
      <c r="F17" s="10" t="n">
        <v>6</v>
      </c>
      <c r="G17" s="10" t="n">
        <v>5</v>
      </c>
      <c r="H17" s="10" t="n">
        <v>21</v>
      </c>
      <c r="I17" s="10" t="n">
        <v>21</v>
      </c>
      <c r="J17" s="10" t="n">
        <v>13</v>
      </c>
      <c r="K17" s="10" t="n">
        <v>6</v>
      </c>
      <c r="L17" s="10" t="n">
        <v>4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12</v>
      </c>
      <c r="D18" s="10" t="n">
        <v>6</v>
      </c>
      <c r="E18" s="10" t="n">
        <v>9</v>
      </c>
      <c r="F18" s="10" t="n">
        <v>4</v>
      </c>
      <c r="G18" s="10" t="n">
        <v>2</v>
      </c>
      <c r="H18" s="10" t="n">
        <v>1</v>
      </c>
      <c r="I18" s="10" t="n">
        <v>1</v>
      </c>
      <c r="J18" s="10" t="n">
        <v>3</v>
      </c>
      <c r="K18" s="10" t="n">
        <v>13</v>
      </c>
      <c r="L18" s="10" t="n">
        <v>11</v>
      </c>
      <c r="M18" s="10" t="n">
        <v>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162.7</v>
      </c>
      <c r="C20" s="8" t="n">
        <v>121.1</v>
      </c>
      <c r="D20" s="8" t="n">
        <v>51.3</v>
      </c>
      <c r="E20" s="8" t="n">
        <v>88.3</v>
      </c>
      <c r="F20" s="8" t="n">
        <v>113.5</v>
      </c>
      <c r="G20" s="8" t="n">
        <v>56.4</v>
      </c>
      <c r="H20" s="8" t="n">
        <v>17.7</v>
      </c>
      <c r="I20" s="8" t="n">
        <v>22.9</v>
      </c>
      <c r="J20" s="8" t="n">
        <v>79.3</v>
      </c>
      <c r="K20" s="8" t="n">
        <v>530.2</v>
      </c>
      <c r="L20" s="8" t="n">
        <v>251.3</v>
      </c>
      <c r="M20" s="8" t="n">
        <v>98.40000000000001</v>
      </c>
      <c r="N20" s="9">
        <f>SUM(B20:M20)</f>
        <v/>
      </c>
    </row>
    <row r="21">
      <c r="A21" s="7" t="inlineStr">
        <is>
          <t>Max. dnevna suma</t>
        </is>
      </c>
      <c r="B21" s="8" t="n">
        <v>37.4</v>
      </c>
      <c r="C21" s="8" t="n">
        <v>27</v>
      </c>
      <c r="D21" s="8" t="n">
        <v>13.2</v>
      </c>
      <c r="E21" s="8" t="n">
        <v>21.8</v>
      </c>
      <c r="F21" s="8" t="n">
        <v>33.3</v>
      </c>
      <c r="G21" s="8" t="n">
        <v>11.4</v>
      </c>
      <c r="H21" s="8" t="n">
        <v>11.1</v>
      </c>
      <c r="I21" s="8" t="n">
        <v>6.9</v>
      </c>
      <c r="J21" s="8" t="n">
        <v>46.3</v>
      </c>
      <c r="K21" s="8" t="n">
        <v>102.9</v>
      </c>
      <c r="L21" s="8" t="n">
        <v>96</v>
      </c>
      <c r="M21" s="8" t="n">
        <v>23.9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15</v>
      </c>
      <c r="D22" s="10" t="n">
        <v>15</v>
      </c>
      <c r="E22" s="10" t="n">
        <v>16</v>
      </c>
      <c r="F22" s="10" t="n">
        <v>19</v>
      </c>
      <c r="G22" s="10" t="n">
        <v>22</v>
      </c>
      <c r="H22" s="10" t="n">
        <v>9</v>
      </c>
      <c r="I22" s="10" t="n">
        <v>8</v>
      </c>
      <c r="J22" s="10" t="n">
        <v>10</v>
      </c>
      <c r="K22" s="10" t="n">
        <v>18</v>
      </c>
      <c r="L22" s="10" t="n">
        <v>20</v>
      </c>
      <c r="M22" s="10" t="n">
        <v>13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6</v>
      </c>
      <c r="C23" s="10" t="n">
        <v>4</v>
      </c>
      <c r="D23" s="10" t="n">
        <v>2</v>
      </c>
      <c r="E23" s="10" t="n">
        <v>4</v>
      </c>
      <c r="F23" s="10" t="n">
        <v>4</v>
      </c>
      <c r="G23" s="10" t="n">
        <v>1</v>
      </c>
      <c r="H23" s="10" t="n">
        <v>1</v>
      </c>
      <c r="I23" s="10" t="n">
        <v>0</v>
      </c>
      <c r="J23" s="10" t="n">
        <v>1</v>
      </c>
      <c r="K23" s="10" t="n">
        <v>11</v>
      </c>
      <c r="L23" s="10" t="n">
        <v>7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12</v>
      </c>
      <c r="C25" s="10" t="n">
        <v>5</v>
      </c>
      <c r="D25" s="10" t="n">
        <v>2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6</v>
      </c>
      <c r="N25" s="11">
        <f>SUM(B25:M25)</f>
        <v/>
      </c>
    </row>
    <row r="26">
      <c r="A26" s="7" t="inlineStr">
        <is>
          <t>snežnim pokrivačem</t>
        </is>
      </c>
      <c r="B26" s="10" t="n">
        <v>11</v>
      </c>
      <c r="C26" s="10" t="n">
        <v>5</v>
      </c>
      <c r="D26" s="10" t="n">
        <v>2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6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1941.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4.2</v>
      </c>
      <c r="C6" s="8" t="n">
        <v>7.1</v>
      </c>
      <c r="D6" s="8" t="n">
        <v>7.3</v>
      </c>
      <c r="E6" s="8" t="n">
        <v>11.7</v>
      </c>
      <c r="F6" s="8" t="n">
        <v>15.6</v>
      </c>
      <c r="G6" s="8" t="n">
        <v>21.6</v>
      </c>
      <c r="H6" s="8" t="n">
        <v>23.7</v>
      </c>
      <c r="I6" s="8" t="n">
        <v>23.7</v>
      </c>
      <c r="J6" s="8" t="n">
        <v>16.1</v>
      </c>
      <c r="K6" s="8" t="n">
        <v>12.5</v>
      </c>
      <c r="L6" s="8" t="n">
        <v>7.6</v>
      </c>
      <c r="M6" s="8" t="n">
        <v>2</v>
      </c>
      <c r="N6" s="9">
        <f>AVERAGE(B6:M6)</f>
        <v/>
      </c>
    </row>
    <row r="7">
      <c r="A7" s="7" t="inlineStr">
        <is>
          <t>Srednja maksimalna</t>
        </is>
      </c>
      <c r="B7" s="8" t="n">
        <v>8.199999999999999</v>
      </c>
      <c r="C7" s="8" t="n">
        <v>11.1</v>
      </c>
      <c r="D7" s="8" t="n">
        <v>13.1</v>
      </c>
      <c r="E7" s="8" t="n">
        <v>16.5</v>
      </c>
      <c r="F7" s="8" t="n">
        <v>20.1</v>
      </c>
      <c r="G7" s="8" t="n">
        <v>27.2</v>
      </c>
      <c r="H7" s="8" t="n">
        <v>29.5</v>
      </c>
      <c r="I7" s="8" t="n">
        <v>29.7</v>
      </c>
      <c r="J7" s="8" t="n">
        <v>21.7</v>
      </c>
      <c r="K7" s="8" t="n">
        <v>17.7</v>
      </c>
      <c r="L7" s="8" t="n">
        <v>12</v>
      </c>
      <c r="M7" s="8" t="n">
        <v>7</v>
      </c>
      <c r="N7" s="9">
        <f>AVERAGE(B7:M7)</f>
        <v/>
      </c>
    </row>
    <row r="8">
      <c r="A8" s="7" t="inlineStr">
        <is>
          <t>Srednja minimalna</t>
        </is>
      </c>
      <c r="B8" s="8" t="n">
        <v>0.8</v>
      </c>
      <c r="C8" s="8" t="n">
        <v>3.1</v>
      </c>
      <c r="D8" s="8" t="n">
        <v>1.9</v>
      </c>
      <c r="E8" s="8" t="n">
        <v>7</v>
      </c>
      <c r="F8" s="8" t="n">
        <v>10.8</v>
      </c>
      <c r="G8" s="8" t="n">
        <v>15.2</v>
      </c>
      <c r="H8" s="8" t="n">
        <v>17.7</v>
      </c>
      <c r="I8" s="8" t="n">
        <v>17.4</v>
      </c>
      <c r="J8" s="8" t="n">
        <v>11.2</v>
      </c>
      <c r="K8" s="8" t="n">
        <v>7.6</v>
      </c>
      <c r="L8" s="8" t="n">
        <v>3.8</v>
      </c>
      <c r="M8" s="8" t="n">
        <v>-2</v>
      </c>
      <c r="N8" s="9">
        <f>AVERAGE(B8:M8)</f>
        <v/>
      </c>
    </row>
    <row r="9">
      <c r="A9" s="7" t="inlineStr">
        <is>
          <t>Apsolutni maksimum</t>
        </is>
      </c>
      <c r="B9" s="8" t="n">
        <v>13.2</v>
      </c>
      <c r="C9" s="8" t="n">
        <v>16.1</v>
      </c>
      <c r="D9" s="8" t="n">
        <v>20.3</v>
      </c>
      <c r="E9" s="8" t="n">
        <v>23</v>
      </c>
      <c r="F9" s="8" t="n">
        <v>26.3</v>
      </c>
      <c r="G9" s="8" t="n">
        <v>32.8</v>
      </c>
      <c r="H9" s="8" t="n">
        <v>34.1</v>
      </c>
      <c r="I9" s="8" t="n">
        <v>35.2</v>
      </c>
      <c r="J9" s="8" t="n">
        <v>25.7</v>
      </c>
      <c r="K9" s="8" t="n">
        <v>26.2</v>
      </c>
      <c r="L9" s="8" t="n">
        <v>16.5</v>
      </c>
      <c r="M9" s="8" t="n">
        <v>11.6</v>
      </c>
      <c r="N9" s="9">
        <f>MAX(B9:M9)</f>
        <v/>
      </c>
    </row>
    <row r="10">
      <c r="A10" s="7" t="inlineStr">
        <is>
          <t>Apsolutni minimum</t>
        </is>
      </c>
      <c r="B10" s="8" t="n">
        <v>-13.2</v>
      </c>
      <c r="C10" s="8" t="n">
        <v>-2.6</v>
      </c>
      <c r="D10" s="8" t="n">
        <v>-2.7</v>
      </c>
      <c r="E10" s="8" t="n">
        <v>0</v>
      </c>
      <c r="F10" s="8" t="n">
        <v>5.8</v>
      </c>
      <c r="G10" s="8" t="n">
        <v>11.9</v>
      </c>
      <c r="H10" s="8" t="n">
        <v>14.3</v>
      </c>
      <c r="I10" s="8" t="n">
        <v>12.8</v>
      </c>
      <c r="J10" s="8" t="n">
        <v>7.5</v>
      </c>
      <c r="K10" s="8" t="n">
        <v>-1</v>
      </c>
      <c r="L10" s="8" t="n">
        <v>-4.2</v>
      </c>
      <c r="M10" s="8" t="n">
        <v>-14.9</v>
      </c>
      <c r="N10" s="9">
        <f>MIN(B10:M10)</f>
        <v/>
      </c>
    </row>
    <row r="11">
      <c r="A11" s="7" t="inlineStr">
        <is>
          <t>Sr. br. mraznih dana</t>
        </is>
      </c>
      <c r="B11" s="10" t="n">
        <v>15</v>
      </c>
      <c r="C11" s="10" t="n">
        <v>9</v>
      </c>
      <c r="D11" s="10" t="n">
        <v>11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4</v>
      </c>
      <c r="M11" s="10" t="n">
        <v>23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7</v>
      </c>
      <c r="H12" s="10" t="n">
        <v>14</v>
      </c>
      <c r="I12" s="10" t="n">
        <v>15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80.09999999999999</v>
      </c>
      <c r="C14" s="8" t="n">
        <v>81.3</v>
      </c>
      <c r="D14" s="8" t="n">
        <v>69.3</v>
      </c>
      <c r="E14" s="8" t="n">
        <v>71.7</v>
      </c>
      <c r="F14" s="8" t="n">
        <v>74.7</v>
      </c>
      <c r="G14" s="8" t="n">
        <v>62.9</v>
      </c>
      <c r="H14" s="8" t="n">
        <v>59.6</v>
      </c>
      <c r="I14" s="8" t="n">
        <v>58.2</v>
      </c>
      <c r="J14" s="8" t="n">
        <v>67.59999999999999</v>
      </c>
      <c r="K14" s="8" t="n">
        <v>76</v>
      </c>
      <c r="L14" s="8" t="n">
        <v>79.2</v>
      </c>
      <c r="M14" s="8" t="n">
        <v>71.2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155.1</v>
      </c>
      <c r="C16" s="8" t="n">
        <v>195.3</v>
      </c>
      <c r="D16" s="8" t="n">
        <v>314.5</v>
      </c>
      <c r="E16" s="8" t="n">
        <v>304.5</v>
      </c>
      <c r="F16" s="8" t="n">
        <v>369.9</v>
      </c>
      <c r="G16" s="8" t="n">
        <v>418.7</v>
      </c>
      <c r="H16" s="8" t="n">
        <v>428.4</v>
      </c>
      <c r="I16" s="8" t="n">
        <v>393.6</v>
      </c>
      <c r="J16" s="8" t="n">
        <v>318.3</v>
      </c>
      <c r="K16" s="8" t="n">
        <v>264.7</v>
      </c>
      <c r="L16" s="8" t="n">
        <v>184.4</v>
      </c>
      <c r="M16" s="8" t="n">
        <v>206.6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1</v>
      </c>
      <c r="D17" s="10" t="n">
        <v>8</v>
      </c>
      <c r="E17" s="10" t="n">
        <v>3</v>
      </c>
      <c r="F17" s="10" t="n">
        <v>4</v>
      </c>
      <c r="G17" s="10" t="n">
        <v>16</v>
      </c>
      <c r="H17" s="10" t="n">
        <v>15</v>
      </c>
      <c r="I17" s="10" t="n">
        <v>14</v>
      </c>
      <c r="J17" s="10" t="n">
        <v>10</v>
      </c>
      <c r="K17" s="10" t="n">
        <v>10</v>
      </c>
      <c r="L17" s="10" t="n">
        <v>8</v>
      </c>
      <c r="M17" s="10" t="n">
        <v>10</v>
      </c>
      <c r="N17" s="11">
        <f>SUM(B17:M17)</f>
        <v/>
      </c>
    </row>
    <row r="18">
      <c r="A18" s="7" t="inlineStr">
        <is>
          <t>Broj oblačnih dana</t>
        </is>
      </c>
      <c r="B18" s="10" t="n">
        <v>16</v>
      </c>
      <c r="C18" s="10" t="n">
        <v>17</v>
      </c>
      <c r="D18" s="10" t="n">
        <v>6</v>
      </c>
      <c r="E18" s="10" t="n">
        <v>9</v>
      </c>
      <c r="F18" s="10" t="n">
        <v>10</v>
      </c>
      <c r="G18" s="10" t="n">
        <v>0</v>
      </c>
      <c r="H18" s="10" t="n">
        <v>0</v>
      </c>
      <c r="I18" s="10" t="n">
        <v>1</v>
      </c>
      <c r="J18" s="10" t="n">
        <v>5</v>
      </c>
      <c r="K18" s="10" t="n">
        <v>8</v>
      </c>
      <c r="L18" s="10" t="n">
        <v>12</v>
      </c>
      <c r="M18" s="10" t="n">
        <v>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228.2</v>
      </c>
      <c r="C20" s="8" t="n">
        <v>268.8</v>
      </c>
      <c r="D20" s="8" t="n">
        <v>81.90000000000001</v>
      </c>
      <c r="E20" s="8" t="n">
        <v>126.2</v>
      </c>
      <c r="F20" s="8" t="n">
        <v>174.3</v>
      </c>
      <c r="G20" s="8" t="n">
        <v>29.9</v>
      </c>
      <c r="H20" s="8" t="n">
        <v>23.3</v>
      </c>
      <c r="I20" s="8" t="n">
        <v>68.8</v>
      </c>
      <c r="J20" s="8" t="n">
        <v>77.40000000000001</v>
      </c>
      <c r="K20" s="8" t="n">
        <v>218.2</v>
      </c>
      <c r="L20" s="8" t="n">
        <v>188.6</v>
      </c>
      <c r="M20" s="8" t="n">
        <v>74.90000000000001</v>
      </c>
      <c r="N20" s="9">
        <f>SUM(B20:M20)</f>
        <v/>
      </c>
    </row>
    <row r="21">
      <c r="A21" s="7" t="inlineStr">
        <is>
          <t>Max. dnevna suma</t>
        </is>
      </c>
      <c r="B21" s="8" t="n">
        <v>41.1</v>
      </c>
      <c r="C21" s="8" t="n">
        <v>35.7</v>
      </c>
      <c r="D21" s="8" t="n">
        <v>23.5</v>
      </c>
      <c r="E21" s="8" t="n">
        <v>30.5</v>
      </c>
      <c r="F21" s="8" t="n">
        <v>24.6</v>
      </c>
      <c r="G21" s="8" t="n">
        <v>19.4</v>
      </c>
      <c r="H21" s="8" t="n">
        <v>8.199999999999999</v>
      </c>
      <c r="I21" s="8" t="n">
        <v>45.6</v>
      </c>
      <c r="J21" s="8" t="n">
        <v>48.7</v>
      </c>
      <c r="K21" s="8" t="n">
        <v>52.9</v>
      </c>
      <c r="L21" s="8" t="n">
        <v>34</v>
      </c>
      <c r="M21" s="8" t="n">
        <v>19.7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23</v>
      </c>
      <c r="C22" s="10" t="n">
        <v>20</v>
      </c>
      <c r="D22" s="10" t="n">
        <v>14</v>
      </c>
      <c r="E22" s="10" t="n">
        <v>19</v>
      </c>
      <c r="F22" s="10" t="n">
        <v>23</v>
      </c>
      <c r="G22" s="10" t="n">
        <v>17</v>
      </c>
      <c r="H22" s="10" t="n">
        <v>14</v>
      </c>
      <c r="I22" s="10" t="n">
        <v>14</v>
      </c>
      <c r="J22" s="10" t="n">
        <v>10</v>
      </c>
      <c r="K22" s="10" t="n">
        <v>19</v>
      </c>
      <c r="L22" s="10" t="n">
        <v>15</v>
      </c>
      <c r="M22" s="10" t="n">
        <v>10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13</v>
      </c>
      <c r="D23" s="10" t="n">
        <v>2</v>
      </c>
      <c r="E23" s="10" t="n">
        <v>4</v>
      </c>
      <c r="F23" s="10" t="n">
        <v>8</v>
      </c>
      <c r="G23" s="10" t="n">
        <v>1</v>
      </c>
      <c r="H23" s="10" t="n">
        <v>0</v>
      </c>
      <c r="I23" s="10" t="n">
        <v>2</v>
      </c>
      <c r="J23" s="10" t="n">
        <v>2</v>
      </c>
      <c r="K23" s="10" t="n">
        <v>7</v>
      </c>
      <c r="L23" s="10" t="n">
        <v>6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4</v>
      </c>
      <c r="C25" s="10" t="n">
        <v>2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4</v>
      </c>
      <c r="C26" s="10" t="n">
        <v>2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1942.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-2.4</v>
      </c>
      <c r="C6" s="8" t="n">
        <v>3.3</v>
      </c>
      <c r="D6" s="8" t="n">
        <v>8.699999999999999</v>
      </c>
      <c r="E6" s="8" t="n">
        <v>12.4</v>
      </c>
      <c r="F6" s="8" t="n">
        <v>17.5</v>
      </c>
      <c r="G6" s="8" t="n">
        <v>21.4</v>
      </c>
      <c r="H6" s="8" t="n">
        <v>23.5</v>
      </c>
      <c r="I6" s="8" t="n">
        <v>24.4</v>
      </c>
      <c r="J6" s="8" t="n">
        <v>21.9</v>
      </c>
      <c r="K6" s="8" t="n">
        <v>14.8</v>
      </c>
      <c r="L6" s="8" t="n">
        <v>6.2</v>
      </c>
      <c r="M6" s="8" t="n">
        <v>5.6</v>
      </c>
      <c r="N6" s="9">
        <f>AVERAGE(B6:M6)</f>
        <v/>
      </c>
    </row>
    <row r="7">
      <c r="A7" s="7" t="inlineStr">
        <is>
          <t>Srednja maksimalna</t>
        </is>
      </c>
      <c r="B7" s="8" t="n">
        <v>1.9</v>
      </c>
      <c r="C7" s="8" t="n">
        <v>7.5</v>
      </c>
      <c r="D7" s="8" t="n">
        <v>13.4</v>
      </c>
      <c r="E7" s="8" t="n">
        <v>17.3</v>
      </c>
      <c r="F7" s="8" t="n">
        <v>23</v>
      </c>
      <c r="G7" s="8" t="n">
        <v>26.7</v>
      </c>
      <c r="H7" s="8" t="n">
        <v>29.3</v>
      </c>
      <c r="I7" s="8" t="n">
        <v>30.7</v>
      </c>
      <c r="J7" s="8" t="n">
        <v>28.4</v>
      </c>
      <c r="K7" s="8" t="n">
        <v>21.2</v>
      </c>
      <c r="L7" s="8" t="n">
        <v>11.5</v>
      </c>
      <c r="M7" s="8" t="n">
        <v>11.1</v>
      </c>
      <c r="N7" s="9">
        <f>AVERAGE(B7:M7)</f>
        <v/>
      </c>
    </row>
    <row r="8">
      <c r="A8" s="7" t="inlineStr">
        <is>
          <t>Srednja minimalna</t>
        </is>
      </c>
      <c r="B8" s="8" t="n">
        <v>-6.3</v>
      </c>
      <c r="C8" s="8" t="n">
        <v>-0.5</v>
      </c>
      <c r="D8" s="8" t="n">
        <v>4.1</v>
      </c>
      <c r="E8" s="8" t="n">
        <v>7.7</v>
      </c>
      <c r="F8" s="8" t="n">
        <v>11.5</v>
      </c>
      <c r="G8" s="8" t="n">
        <v>15.8</v>
      </c>
      <c r="H8" s="8" t="n">
        <v>16.8</v>
      </c>
      <c r="I8" s="8" t="n">
        <v>17.6</v>
      </c>
      <c r="J8" s="8" t="n">
        <v>15.7</v>
      </c>
      <c r="K8" s="8" t="n">
        <v>9.300000000000001</v>
      </c>
      <c r="L8" s="8" t="n">
        <v>2.3</v>
      </c>
      <c r="M8" s="8" t="n">
        <v>1.8</v>
      </c>
      <c r="N8" s="9">
        <f>AVERAGE(B8:M8)</f>
        <v/>
      </c>
    </row>
    <row r="9">
      <c r="A9" s="7" t="inlineStr">
        <is>
          <t>Apsolutni maksimum</t>
        </is>
      </c>
      <c r="B9" s="8" t="n">
        <v>8.5</v>
      </c>
      <c r="C9" s="8" t="n">
        <v>13.9</v>
      </c>
      <c r="D9" s="8" t="n">
        <v>19.6</v>
      </c>
      <c r="E9" s="8" t="n">
        <v>20.4</v>
      </c>
      <c r="F9" s="8" t="n">
        <v>29.1</v>
      </c>
      <c r="G9" s="8" t="n">
        <v>30.4</v>
      </c>
      <c r="H9" s="8" t="n">
        <v>33.9</v>
      </c>
      <c r="I9" s="8" t="n">
        <v>32.8</v>
      </c>
      <c r="J9" s="8" t="n">
        <v>32.9</v>
      </c>
      <c r="K9" s="8" t="n">
        <v>29.4</v>
      </c>
      <c r="L9" s="8" t="n">
        <v>19.9</v>
      </c>
      <c r="M9" s="8" t="n">
        <v>14.7</v>
      </c>
      <c r="N9" s="9">
        <f>MAX(B9:M9)</f>
        <v/>
      </c>
    </row>
    <row r="10">
      <c r="A10" s="7" t="inlineStr">
        <is>
          <t>Apsolutni minimum</t>
        </is>
      </c>
      <c r="B10" s="8" t="n">
        <v>-20.8</v>
      </c>
      <c r="C10" s="8" t="n">
        <v>-8</v>
      </c>
      <c r="D10" s="8" t="n">
        <v>-0.2</v>
      </c>
      <c r="E10" s="8" t="n">
        <v>1.4</v>
      </c>
      <c r="F10" s="8" t="n">
        <v>5.5</v>
      </c>
      <c r="G10" s="8" t="n">
        <v>11</v>
      </c>
      <c r="H10" s="8" t="n">
        <v>12.6</v>
      </c>
      <c r="I10" s="8" t="n">
        <v>14.8</v>
      </c>
      <c r="J10" s="8" t="n">
        <v>10.5</v>
      </c>
      <c r="K10" s="8" t="n">
        <v>2.8</v>
      </c>
      <c r="L10" s="8" t="n">
        <v>-7.2</v>
      </c>
      <c r="M10" s="8" t="n">
        <v>-1.9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16</v>
      </c>
      <c r="D11" s="10" t="n">
        <v>1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11</v>
      </c>
      <c r="M11" s="10" t="n">
        <v>10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</v>
      </c>
      <c r="H12" s="10" t="n">
        <v>15</v>
      </c>
      <c r="I12" s="10" t="n">
        <v>25</v>
      </c>
      <c r="J12" s="10" t="n">
        <v>8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76</v>
      </c>
      <c r="C14" s="8" t="n">
        <v>79.59999999999999</v>
      </c>
      <c r="D14" s="8" t="n">
        <v>78.90000000000001</v>
      </c>
      <c r="E14" s="8" t="n">
        <v>74.3</v>
      </c>
      <c r="F14" s="8" t="n">
        <v>74.3</v>
      </c>
      <c r="G14" s="8" t="n">
        <v>64.90000000000001</v>
      </c>
      <c r="H14" s="8" t="n">
        <v>56.3</v>
      </c>
      <c r="I14" s="8" t="n">
        <v>52.3</v>
      </c>
      <c r="J14" s="8" t="n">
        <v>55.2</v>
      </c>
      <c r="K14" s="8" t="n">
        <v>67.59999999999999</v>
      </c>
      <c r="L14" s="8" t="n">
        <v>77.09999999999999</v>
      </c>
      <c r="M14" s="8" t="n">
        <v>80.3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158.5</v>
      </c>
      <c r="C16" s="8" t="n">
        <v>130.3</v>
      </c>
      <c r="D16" s="8" t="n">
        <v>258.3</v>
      </c>
      <c r="E16" s="8" t="n">
        <v>316.3</v>
      </c>
      <c r="F16" s="8" t="n">
        <v>383</v>
      </c>
      <c r="G16" s="8" t="n">
        <v>389.9</v>
      </c>
      <c r="H16" s="8" t="n">
        <v>432.1</v>
      </c>
      <c r="I16" s="8" t="n">
        <v>414.5</v>
      </c>
      <c r="J16" s="8" t="n">
        <v>336.7</v>
      </c>
      <c r="K16" s="8" t="n">
        <v>290.8</v>
      </c>
      <c r="L16" s="8" t="n">
        <v>214.7</v>
      </c>
      <c r="M16" s="8" t="n">
        <v>208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3</v>
      </c>
      <c r="D17" s="10" t="n">
        <v>1</v>
      </c>
      <c r="E17" s="10" t="n">
        <v>1</v>
      </c>
      <c r="F17" s="10" t="n">
        <v>14</v>
      </c>
      <c r="G17" s="10" t="n">
        <v>11</v>
      </c>
      <c r="H17" s="10" t="n">
        <v>24</v>
      </c>
      <c r="I17" s="10" t="n">
        <v>27</v>
      </c>
      <c r="J17" s="10" t="n">
        <v>16</v>
      </c>
      <c r="K17" s="10" t="n">
        <v>10</v>
      </c>
      <c r="L17" s="10" t="n">
        <v>9</v>
      </c>
      <c r="M17" s="10" t="n">
        <v>10</v>
      </c>
      <c r="N17" s="11">
        <f>SUM(B17:M17)</f>
        <v/>
      </c>
    </row>
    <row r="18">
      <c r="A18" s="7" t="inlineStr">
        <is>
          <t>Broj oblačnih dana</t>
        </is>
      </c>
      <c r="B18" s="10" t="n">
        <v>17</v>
      </c>
      <c r="C18" s="10" t="n">
        <v>19</v>
      </c>
      <c r="D18" s="10" t="n">
        <v>14</v>
      </c>
      <c r="E18" s="10" t="n">
        <v>9</v>
      </c>
      <c r="F18" s="10" t="n">
        <v>3</v>
      </c>
      <c r="G18" s="10" t="n">
        <v>1</v>
      </c>
      <c r="H18" s="10" t="n">
        <v>1</v>
      </c>
      <c r="I18" s="10" t="n">
        <v>0</v>
      </c>
      <c r="J18" s="10" t="n">
        <v>1</v>
      </c>
      <c r="K18" s="10" t="n">
        <v>5</v>
      </c>
      <c r="L18" s="10" t="n">
        <v>8</v>
      </c>
      <c r="M18" s="10" t="n">
        <v>10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190.8</v>
      </c>
      <c r="C20" s="8" t="n">
        <v>187.1</v>
      </c>
      <c r="D20" s="8" t="n">
        <v>90.5</v>
      </c>
      <c r="E20" s="8" t="n">
        <v>107.4</v>
      </c>
      <c r="F20" s="8" t="n">
        <v>130.4</v>
      </c>
      <c r="G20" s="8" t="n">
        <v>53.2</v>
      </c>
      <c r="H20" s="8" t="n">
        <v>4.4</v>
      </c>
      <c r="I20" s="8" t="n">
        <v>5.3</v>
      </c>
      <c r="J20" s="8" t="n">
        <v>63.4</v>
      </c>
      <c r="K20" s="8" t="n">
        <v>28.8</v>
      </c>
      <c r="L20" s="8" t="n">
        <v>125.8</v>
      </c>
      <c r="M20" s="8" t="n">
        <v>96.2</v>
      </c>
      <c r="N20" s="9">
        <f>SUM(B20:M20)</f>
        <v/>
      </c>
    </row>
    <row r="21">
      <c r="A21" s="7" t="inlineStr">
        <is>
          <t>Max. dnevna suma</t>
        </is>
      </c>
      <c r="B21" s="8" t="n">
        <v>30.1</v>
      </c>
      <c r="C21" s="8" t="n">
        <v>31.3</v>
      </c>
      <c r="D21" s="8" t="n">
        <v>17.9</v>
      </c>
      <c r="E21" s="8" t="n">
        <v>36.3</v>
      </c>
      <c r="F21" s="8" t="n">
        <v>30.5</v>
      </c>
      <c r="G21" s="8" t="n">
        <v>9</v>
      </c>
      <c r="H21" s="8" t="n">
        <v>1.1</v>
      </c>
      <c r="I21" s="8" t="n">
        <v>1.6</v>
      </c>
      <c r="J21" s="8" t="n">
        <v>45.1</v>
      </c>
      <c r="K21" s="8" t="n">
        <v>20</v>
      </c>
      <c r="L21" s="8" t="n">
        <v>43.6</v>
      </c>
      <c r="M21" s="8" t="n">
        <v>20.8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18</v>
      </c>
      <c r="D22" s="10" t="n">
        <v>23</v>
      </c>
      <c r="E22" s="10" t="n">
        <v>20</v>
      </c>
      <c r="F22" s="10" t="n">
        <v>13</v>
      </c>
      <c r="G22" s="10" t="n">
        <v>17</v>
      </c>
      <c r="H22" s="10" t="n">
        <v>9</v>
      </c>
      <c r="I22" s="10" t="n">
        <v>9</v>
      </c>
      <c r="J22" s="10" t="n">
        <v>8</v>
      </c>
      <c r="K22" s="10" t="n">
        <v>8</v>
      </c>
      <c r="L22" s="10" t="n">
        <v>11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8</v>
      </c>
      <c r="C23" s="10" t="n">
        <v>7</v>
      </c>
      <c r="D23" s="10" t="n">
        <v>5</v>
      </c>
      <c r="E23" s="10" t="n">
        <v>4</v>
      </c>
      <c r="F23" s="10" t="n">
        <v>6</v>
      </c>
      <c r="G23" s="10" t="n">
        <v>0</v>
      </c>
      <c r="H23" s="10" t="n">
        <v>0</v>
      </c>
      <c r="I23" s="10" t="n">
        <v>0</v>
      </c>
      <c r="J23" s="10" t="n">
        <v>2</v>
      </c>
      <c r="K23" s="10" t="n">
        <v>1</v>
      </c>
      <c r="L23" s="10" t="n">
        <v>4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16</v>
      </c>
      <c r="C25" s="10" t="n">
        <v>4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16</v>
      </c>
      <c r="C26" s="10" t="n">
        <v>4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1943.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2.2</v>
      </c>
      <c r="C6" s="8" t="n">
        <v>6.2</v>
      </c>
      <c r="D6" s="8" t="n">
        <v>8.699999999999999</v>
      </c>
      <c r="E6" s="8" t="n">
        <v>13.1</v>
      </c>
      <c r="F6" s="8" t="n">
        <v>16.8</v>
      </c>
      <c r="G6" s="8" t="n">
        <v>20.6</v>
      </c>
      <c r="H6" s="8" t="n">
        <v>24.3</v>
      </c>
      <c r="I6" s="8" t="n">
        <v>26.8</v>
      </c>
      <c r="J6" s="8" t="n">
        <v>22.7</v>
      </c>
      <c r="K6" s="8" t="n">
        <v>16.4</v>
      </c>
      <c r="L6" s="8" t="n">
        <v>10</v>
      </c>
      <c r="M6" s="8" t="n">
        <v>7.3</v>
      </c>
      <c r="N6" s="9">
        <f>AVERAGE(B6:M6)</f>
        <v/>
      </c>
    </row>
    <row r="7">
      <c r="A7" s="7" t="inlineStr">
        <is>
          <t>Srednja maksimalna</t>
        </is>
      </c>
      <c r="B7" s="8" t="n">
        <v>7</v>
      </c>
      <c r="C7" s="8" t="n">
        <v>12.4</v>
      </c>
      <c r="D7" s="8" t="n">
        <v>14.8</v>
      </c>
      <c r="E7" s="8" t="n">
        <v>19.2</v>
      </c>
      <c r="F7" s="8" t="n">
        <v>22.1</v>
      </c>
      <c r="G7" s="8" t="n">
        <v>25.6</v>
      </c>
      <c r="H7" s="8" t="n">
        <v>29.9</v>
      </c>
      <c r="I7" s="8" t="n">
        <v>33.4</v>
      </c>
      <c r="J7" s="8" t="n">
        <v>28.8</v>
      </c>
      <c r="K7" s="8" t="n">
        <v>21.7</v>
      </c>
      <c r="L7" s="8" t="n">
        <v>14.2</v>
      </c>
      <c r="M7" s="8" t="n">
        <v>11</v>
      </c>
      <c r="N7" s="9">
        <f>AVERAGE(B7:M7)</f>
        <v/>
      </c>
    </row>
    <row r="8">
      <c r="A8" s="7" t="inlineStr">
        <is>
          <t>Srednja minimalna</t>
        </is>
      </c>
      <c r="B8" s="8" t="n">
        <v>-2.1</v>
      </c>
      <c r="C8" s="8" t="n">
        <v>1.3</v>
      </c>
      <c r="D8" s="8" t="n">
        <v>3.3</v>
      </c>
      <c r="E8" s="8" t="n">
        <v>7.1</v>
      </c>
      <c r="F8" s="8" t="n">
        <v>11.3</v>
      </c>
      <c r="G8" s="8" t="n">
        <v>14.4</v>
      </c>
      <c r="H8" s="8" t="n">
        <v>17.9</v>
      </c>
      <c r="I8" s="8" t="n">
        <v>19.5</v>
      </c>
      <c r="J8" s="8" t="n">
        <v>17.2</v>
      </c>
      <c r="K8" s="8" t="n">
        <v>12</v>
      </c>
      <c r="L8" s="8" t="n">
        <v>6.3</v>
      </c>
      <c r="M8" s="8" t="n">
        <v>4</v>
      </c>
      <c r="N8" s="9">
        <f>AVERAGE(B8:M8)</f>
        <v/>
      </c>
    </row>
    <row r="9">
      <c r="A9" s="7" t="inlineStr">
        <is>
          <t>Apsolutni maksimum</t>
        </is>
      </c>
      <c r="B9" s="8" t="n">
        <v>10.6</v>
      </c>
      <c r="C9" s="8" t="n">
        <v>17.4</v>
      </c>
      <c r="D9" s="8" t="n">
        <v>19.2</v>
      </c>
      <c r="E9" s="8" t="n">
        <v>25.6</v>
      </c>
      <c r="F9" s="8" t="n">
        <v>26.6</v>
      </c>
      <c r="G9" s="8" t="n">
        <v>30.4</v>
      </c>
      <c r="H9" s="8" t="n">
        <v>35</v>
      </c>
      <c r="I9" s="8" t="n">
        <v>36.5</v>
      </c>
      <c r="J9" s="8" t="n">
        <v>33.9</v>
      </c>
      <c r="K9" s="8" t="n">
        <v>28.3</v>
      </c>
      <c r="L9" s="8" t="n">
        <v>19.4</v>
      </c>
      <c r="M9" s="8" t="n">
        <v>15.7</v>
      </c>
      <c r="N9" s="9">
        <f>MAX(B9:M9)</f>
        <v/>
      </c>
    </row>
    <row r="10">
      <c r="A10" s="7" t="inlineStr">
        <is>
          <t>Apsolutni minimum</t>
        </is>
      </c>
      <c r="B10" s="8" t="n">
        <v>-12.1</v>
      </c>
      <c r="C10" s="8" t="n">
        <v>-1.8</v>
      </c>
      <c r="D10" s="8" t="n">
        <v>-2.5</v>
      </c>
      <c r="E10" s="8" t="n">
        <v>0.2</v>
      </c>
      <c r="F10" s="8" t="n">
        <v>6.3</v>
      </c>
      <c r="G10" s="8" t="n">
        <v>11.3</v>
      </c>
      <c r="H10" s="8" t="n">
        <v>13.2</v>
      </c>
      <c r="I10" s="8" t="n">
        <v>17.8</v>
      </c>
      <c r="J10" s="8" t="n">
        <v>15.4</v>
      </c>
      <c r="K10" s="8" t="n">
        <v>6</v>
      </c>
      <c r="L10" s="8" t="n">
        <v>0</v>
      </c>
      <c r="M10" s="8" t="n">
        <v>-1.9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11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</v>
      </c>
      <c r="H12" s="10" t="n">
        <v>14</v>
      </c>
      <c r="I12" s="10" t="n">
        <v>28</v>
      </c>
      <c r="J12" s="10" t="n">
        <v>12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72.8</v>
      </c>
      <c r="C14" s="8" t="n">
        <v>72.2</v>
      </c>
      <c r="D14" s="8" t="n">
        <v>68.90000000000001</v>
      </c>
      <c r="E14" s="8" t="n">
        <v>65.3</v>
      </c>
      <c r="F14" s="8" t="n">
        <v>66.59999999999999</v>
      </c>
      <c r="G14" s="8" t="n">
        <v>67.40000000000001</v>
      </c>
      <c r="H14" s="8" t="n">
        <v>59.4</v>
      </c>
      <c r="I14" s="8" t="n">
        <v>44.5</v>
      </c>
      <c r="J14" s="8" t="n">
        <v>61.9</v>
      </c>
      <c r="K14" s="8" t="n">
        <v>77.2</v>
      </c>
      <c r="L14" s="8" t="n">
        <v>78.09999999999999</v>
      </c>
      <c r="M14" s="8" t="n">
        <v>78.90000000000001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201</v>
      </c>
      <c r="C16" s="8" t="n">
        <v>233.2</v>
      </c>
      <c r="D16" s="8" t="n">
        <v>311.5</v>
      </c>
      <c r="E16" s="8" t="n">
        <v>355.7</v>
      </c>
      <c r="F16" s="8" t="n">
        <v>384.1</v>
      </c>
      <c r="G16" s="8" t="n">
        <v>414.9</v>
      </c>
      <c r="H16" s="8" t="n">
        <v>428.2</v>
      </c>
      <c r="I16" s="8" t="n">
        <v>415.3</v>
      </c>
      <c r="J16" s="8" t="n">
        <v>329.8</v>
      </c>
      <c r="K16" s="8" t="n">
        <v>275.1</v>
      </c>
      <c r="L16" s="8" t="n">
        <v>204.8</v>
      </c>
      <c r="M16" s="8" t="n">
        <v>176.8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9</v>
      </c>
      <c r="D17" s="10" t="n">
        <v>9</v>
      </c>
      <c r="E17" s="10" t="n">
        <v>4</v>
      </c>
      <c r="F17" s="10" t="n">
        <v>8</v>
      </c>
      <c r="G17" s="10" t="n">
        <v>9</v>
      </c>
      <c r="H17" s="10" t="n">
        <v>18</v>
      </c>
      <c r="I17" s="10" t="n">
        <v>26</v>
      </c>
      <c r="J17" s="10" t="n">
        <v>12</v>
      </c>
      <c r="K17" s="10" t="n">
        <v>11</v>
      </c>
      <c r="L17" s="10" t="n">
        <v>6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8</v>
      </c>
      <c r="D18" s="10" t="n">
        <v>8</v>
      </c>
      <c r="E18" s="10" t="n">
        <v>5</v>
      </c>
      <c r="F18" s="10" t="n">
        <v>5</v>
      </c>
      <c r="G18" s="10" t="n">
        <v>1</v>
      </c>
      <c r="H18" s="10" t="n">
        <v>0</v>
      </c>
      <c r="I18" s="10" t="n">
        <v>0</v>
      </c>
      <c r="J18" s="10" t="n">
        <v>3</v>
      </c>
      <c r="K18" s="10" t="n">
        <v>7</v>
      </c>
      <c r="L18" s="10" t="n">
        <v>10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132</v>
      </c>
      <c r="C20" s="8" t="n">
        <v>41.5</v>
      </c>
      <c r="D20" s="8" t="n">
        <v>38.3</v>
      </c>
      <c r="E20" s="8" t="n">
        <v>38.4</v>
      </c>
      <c r="F20" s="8" t="n">
        <v>97.90000000000001</v>
      </c>
      <c r="G20" s="8" t="n">
        <v>63.4</v>
      </c>
      <c r="H20" s="8" t="n">
        <v>49</v>
      </c>
      <c r="I20" s="8" t="n">
        <v>2.7</v>
      </c>
      <c r="J20" s="8" t="n">
        <v>133.2</v>
      </c>
      <c r="K20" s="8" t="n">
        <v>74.40000000000001</v>
      </c>
      <c r="L20" s="8" t="n">
        <v>364</v>
      </c>
      <c r="M20" s="8" t="n">
        <v>155.7</v>
      </c>
      <c r="N20" s="9">
        <f>SUM(B20:M20)</f>
        <v/>
      </c>
    </row>
    <row r="21">
      <c r="A21" s="7" t="inlineStr">
        <is>
          <t>Max. dnevna suma</t>
        </is>
      </c>
      <c r="B21" s="8" t="n">
        <v>29</v>
      </c>
      <c r="C21" s="8" t="n">
        <v>12.5</v>
      </c>
      <c r="D21" s="8" t="n">
        <v>12.2</v>
      </c>
      <c r="E21" s="8" t="n">
        <v>15.7</v>
      </c>
      <c r="F21" s="8" t="n">
        <v>24.2</v>
      </c>
      <c r="G21" s="8" t="n">
        <v>28.4</v>
      </c>
      <c r="H21" s="8" t="n">
        <v>23.9</v>
      </c>
      <c r="I21" s="8" t="n">
        <v>1.2</v>
      </c>
      <c r="J21" s="8" t="n">
        <v>49</v>
      </c>
      <c r="K21" s="8" t="n">
        <v>31.1</v>
      </c>
      <c r="L21" s="8" t="n">
        <v>97</v>
      </c>
      <c r="M21" s="8" t="n">
        <v>24.4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13</v>
      </c>
      <c r="C22" s="10" t="n">
        <v>14</v>
      </c>
      <c r="D22" s="10" t="n">
        <v>11</v>
      </c>
      <c r="E22" s="10" t="n">
        <v>12</v>
      </c>
      <c r="F22" s="10" t="n">
        <v>19</v>
      </c>
      <c r="G22" s="10" t="n">
        <v>21</v>
      </c>
      <c r="H22" s="10" t="n">
        <v>15</v>
      </c>
      <c r="I22" s="10" t="n">
        <v>4</v>
      </c>
      <c r="J22" s="10" t="n">
        <v>14</v>
      </c>
      <c r="K22" s="10" t="n">
        <v>15</v>
      </c>
      <c r="L22" s="10" t="n">
        <v>17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6</v>
      </c>
      <c r="C23" s="10" t="n">
        <v>2</v>
      </c>
      <c r="D23" s="10" t="n">
        <v>1</v>
      </c>
      <c r="E23" s="10" t="n">
        <v>1</v>
      </c>
      <c r="F23" s="10" t="n">
        <v>4</v>
      </c>
      <c r="G23" s="10" t="n">
        <v>1</v>
      </c>
      <c r="H23" s="10" t="n">
        <v>2</v>
      </c>
      <c r="I23" s="10" t="n">
        <v>0</v>
      </c>
      <c r="J23" s="10" t="n">
        <v>3</v>
      </c>
      <c r="K23" s="10" t="n">
        <v>2</v>
      </c>
      <c r="L23" s="10" t="n">
        <v>11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7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7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1944.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3.6</v>
      </c>
      <c r="C6" s="8" t="n">
        <v>4.2</v>
      </c>
      <c r="D6" s="8" t="n">
        <v>5.9</v>
      </c>
      <c r="E6" s="8" t="n">
        <v>13.4</v>
      </c>
      <c r="F6" s="8" t="n">
        <v>17.6</v>
      </c>
      <c r="G6" s="8" t="n">
        <v>21.5</v>
      </c>
      <c r="H6" s="8" t="n">
        <v>23.9</v>
      </c>
      <c r="I6" s="8" t="n">
        <v>25.5</v>
      </c>
      <c r="J6" s="8" t="n">
        <v>20.7</v>
      </c>
      <c r="K6" s="8" t="n">
        <v>14.6</v>
      </c>
      <c r="L6" s="8" t="n">
        <v>8.6</v>
      </c>
      <c r="M6" s="8" t="n">
        <v>4.1</v>
      </c>
      <c r="N6" s="9">
        <f>AVERAGE(B6:M6)</f>
        <v/>
      </c>
    </row>
    <row r="7">
      <c r="A7" s="7" t="inlineStr">
        <is>
          <t>Srednja maksimalna</t>
        </is>
      </c>
      <c r="B7" s="8" t="n">
        <v>9.4</v>
      </c>
      <c r="C7" s="8" t="n">
        <v>8.199999999999999</v>
      </c>
      <c r="D7" s="8" t="n">
        <v>10.2</v>
      </c>
      <c r="E7" s="8" t="n">
        <v>19</v>
      </c>
      <c r="F7" s="8" t="n">
        <v>23.1</v>
      </c>
      <c r="G7" s="8" t="n">
        <v>26.6</v>
      </c>
      <c r="H7" s="8" t="n">
        <v>29.3</v>
      </c>
      <c r="I7" s="8" t="n">
        <v>31.6</v>
      </c>
      <c r="J7" s="8" t="n">
        <v>26</v>
      </c>
      <c r="K7" s="8" t="n">
        <v>18.7</v>
      </c>
      <c r="L7" s="8" t="n">
        <v>13.2</v>
      </c>
      <c r="M7" s="8" t="n">
        <v>8.199999999999999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-0.9</v>
      </c>
      <c r="C8" s="8" t="n">
        <v>0.2</v>
      </c>
      <c r="D8" s="8" t="n">
        <v>1.7</v>
      </c>
      <c r="E8" s="8" t="n">
        <v>7.8</v>
      </c>
      <c r="F8" s="8" t="n">
        <v>11.5</v>
      </c>
      <c r="G8" s="8" t="n">
        <v>15</v>
      </c>
      <c r="H8" s="8" t="n">
        <v>17.5</v>
      </c>
      <c r="I8" s="8" t="n">
        <v>18.7</v>
      </c>
      <c r="J8" s="8" t="n">
        <v>15.8</v>
      </c>
      <c r="K8" s="8" t="n">
        <v>11.2</v>
      </c>
      <c r="L8" s="8" t="n">
        <v>4.3</v>
      </c>
      <c r="M8" s="8" t="n">
        <v>0.9</v>
      </c>
      <c r="N8" s="9">
        <f>AVERAGE(B8:M8)</f>
        <v/>
      </c>
    </row>
    <row r="9">
      <c r="A9" s="7" t="inlineStr">
        <is>
          <t>Apsolutni maksimum</t>
        </is>
      </c>
      <c r="B9" s="8" t="n">
        <v>16</v>
      </c>
      <c r="C9" s="8" t="n">
        <v>17.1</v>
      </c>
      <c r="D9" s="8" t="n">
        <v>14.1</v>
      </c>
      <c r="E9" s="8" t="n">
        <v>25.4</v>
      </c>
      <c r="F9" s="8" t="n">
        <v>27.7</v>
      </c>
      <c r="G9" s="8" t="n">
        <v>31.5</v>
      </c>
      <c r="H9" s="8" t="n">
        <v>32.2</v>
      </c>
      <c r="I9" s="8" t="n">
        <v>35</v>
      </c>
      <c r="J9" s="8" t="n">
        <v>34.4</v>
      </c>
      <c r="K9" s="8" t="n">
        <v>24</v>
      </c>
      <c r="L9" s="8" t="n">
        <v>18.1</v>
      </c>
      <c r="M9" s="8" t="n">
        <v>13.2</v>
      </c>
      <c r="N9" s="9">
        <f>MAX(B9:M9)</f>
        <v/>
      </c>
    </row>
    <row r="10">
      <c r="A10" s="7" t="inlineStr">
        <is>
          <t>Apsolutni minimum</t>
        </is>
      </c>
      <c r="B10" s="8" t="n">
        <v>-8.300000000000001</v>
      </c>
      <c r="C10" s="8" t="n">
        <v>-6.3</v>
      </c>
      <c r="D10" s="8" t="n">
        <v>-3.1</v>
      </c>
      <c r="E10" s="8" t="n">
        <v>-1</v>
      </c>
      <c r="F10" s="8" t="n">
        <v>5</v>
      </c>
      <c r="G10" s="8" t="n">
        <v>12.2</v>
      </c>
      <c r="H10" s="8" t="n">
        <v>15.2</v>
      </c>
      <c r="I10" s="8" t="n">
        <v>15.4</v>
      </c>
      <c r="J10" s="8" t="n">
        <v>10.3</v>
      </c>
      <c r="K10" s="8" t="n">
        <v>5.1</v>
      </c>
      <c r="L10" s="8" t="n">
        <v>-1.8</v>
      </c>
      <c r="M10" s="8" t="n">
        <v>-6.3</v>
      </c>
      <c r="N10" s="9">
        <f>MIN(B10:M10)</f>
        <v/>
      </c>
    </row>
    <row r="11">
      <c r="A11" s="7" t="inlineStr">
        <is>
          <t>Sr. br. mraznih dana</t>
        </is>
      </c>
      <c r="B11" s="10" t="n">
        <v>20</v>
      </c>
      <c r="C11" s="10" t="n">
        <v>16</v>
      </c>
      <c r="D11" s="10" t="n">
        <v>8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4</v>
      </c>
      <c r="M11" s="10" t="n">
        <v>12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3</v>
      </c>
      <c r="H12" s="10" t="n">
        <v>14</v>
      </c>
      <c r="I12" s="10" t="n">
        <v>24</v>
      </c>
      <c r="J12" s="10" t="n">
        <v>7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72.90000000000001</v>
      </c>
      <c r="C14" s="8" t="n">
        <v>75.2</v>
      </c>
      <c r="D14" s="8" t="n">
        <v>73.5</v>
      </c>
      <c r="E14" s="8" t="n">
        <v>67</v>
      </c>
      <c r="F14" s="8" t="n">
        <v>67</v>
      </c>
      <c r="G14" s="8" t="n">
        <v>63.6</v>
      </c>
      <c r="H14" s="8" t="n">
        <v>57.5</v>
      </c>
      <c r="I14" s="8" t="n">
        <v>48.8</v>
      </c>
      <c r="J14" s="8" t="n">
        <v>61.5</v>
      </c>
      <c r="K14" s="8" t="n">
        <v>82.7</v>
      </c>
      <c r="L14" s="8" t="n">
        <v>82.09999999999999</v>
      </c>
      <c r="M14" s="8" t="n">
        <v>76.09999999999999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227.9</v>
      </c>
      <c r="C16" s="8" t="n">
        <v>178</v>
      </c>
      <c r="D16" s="8" t="n">
        <v>246.8</v>
      </c>
      <c r="E16" s="8" t="n">
        <v>333.2</v>
      </c>
      <c r="F16" s="8" t="n">
        <v>419.5</v>
      </c>
      <c r="G16" s="8" t="n">
        <v>410.3</v>
      </c>
      <c r="H16" s="8" t="n">
        <v>431.4</v>
      </c>
      <c r="I16" s="8" t="n">
        <v>412.4</v>
      </c>
      <c r="J16" s="8" t="n">
        <v>299.4</v>
      </c>
      <c r="K16" s="8" t="n">
        <v>224.7</v>
      </c>
      <c r="L16" s="8" t="n">
        <v>192</v>
      </c>
      <c r="M16" s="8" t="n">
        <v>162.8</v>
      </c>
      <c r="N16" s="9">
        <f>SUM(B16:M16)</f>
        <v/>
      </c>
    </row>
    <row r="17">
      <c r="A17" s="7" t="inlineStr">
        <is>
          <t>Broj vedrih dana</t>
        </is>
      </c>
      <c r="B17" s="10" t="n">
        <v>8</v>
      </c>
      <c r="C17" s="10" t="n">
        <v>2</v>
      </c>
      <c r="D17" s="10" t="n">
        <v>1</v>
      </c>
      <c r="E17" s="10" t="n">
        <v>5</v>
      </c>
      <c r="F17" s="10" t="n">
        <v>4</v>
      </c>
      <c r="G17" s="10" t="n">
        <v>14</v>
      </c>
      <c r="H17" s="10" t="n">
        <v>21</v>
      </c>
      <c r="I17" s="10" t="n">
        <v>18</v>
      </c>
      <c r="J17" s="10" t="n">
        <v>12</v>
      </c>
      <c r="K17" s="10" t="n">
        <v>2</v>
      </c>
      <c r="L17" s="10" t="n">
        <v>2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4</v>
      </c>
      <c r="C18" s="10" t="n">
        <v>16</v>
      </c>
      <c r="D18" s="10" t="n">
        <v>15</v>
      </c>
      <c r="E18" s="10" t="n">
        <v>6</v>
      </c>
      <c r="F18" s="10" t="n">
        <v>0</v>
      </c>
      <c r="G18" s="10" t="n">
        <v>1</v>
      </c>
      <c r="H18" s="10" t="n">
        <v>0</v>
      </c>
      <c r="I18" s="10" t="n">
        <v>0</v>
      </c>
      <c r="J18" s="10" t="n">
        <v>6</v>
      </c>
      <c r="K18" s="10" t="n">
        <v>12</v>
      </c>
      <c r="L18" s="10" t="n">
        <v>14</v>
      </c>
      <c r="M18" s="10" t="n">
        <v>16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57.9</v>
      </c>
      <c r="C20" s="8" t="n">
        <v>211.7</v>
      </c>
      <c r="D20" s="8" t="n">
        <v>292.9</v>
      </c>
      <c r="E20" s="8" t="n">
        <v>57.5</v>
      </c>
      <c r="F20" s="8" t="n">
        <v>28.5</v>
      </c>
      <c r="G20" s="8" t="n">
        <v>53.6</v>
      </c>
      <c r="H20" s="8" t="n">
        <v>38.4</v>
      </c>
      <c r="I20" s="8" t="n">
        <v>5.8</v>
      </c>
      <c r="J20" s="8" t="n">
        <v>156.1</v>
      </c>
      <c r="K20" s="8" t="n">
        <v>458</v>
      </c>
      <c r="L20" s="8" t="n">
        <v>261.4</v>
      </c>
      <c r="M20" s="8" t="n">
        <v>164.8</v>
      </c>
      <c r="N20" s="9">
        <f>SUM(B20:M20)</f>
        <v/>
      </c>
    </row>
    <row r="21">
      <c r="A21" s="7" t="inlineStr">
        <is>
          <t>Max. dnevna suma</t>
        </is>
      </c>
      <c r="B21" s="8" t="n">
        <v>24.9</v>
      </c>
      <c r="C21" s="8" t="n">
        <v>59.4</v>
      </c>
      <c r="D21" s="8" t="n">
        <v>83.3</v>
      </c>
      <c r="E21" s="8" t="n">
        <v>24.4</v>
      </c>
      <c r="F21" s="8" t="n">
        <v>8.199999999999999</v>
      </c>
      <c r="G21" s="8" t="n">
        <v>36.5</v>
      </c>
      <c r="H21" s="8" t="n">
        <v>14</v>
      </c>
      <c r="I21" s="8" t="n">
        <v>1.4</v>
      </c>
      <c r="J21" s="8" t="n">
        <v>31.4</v>
      </c>
      <c r="K21" s="8" t="n">
        <v>106.8</v>
      </c>
      <c r="L21" s="8" t="n">
        <v>55.2</v>
      </c>
      <c r="M21" s="8" t="n">
        <v>45.1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23</v>
      </c>
      <c r="D22" s="10" t="n">
        <v>24</v>
      </c>
      <c r="E22" s="10" t="n">
        <v>16</v>
      </c>
      <c r="F22" s="10" t="n">
        <v>14</v>
      </c>
      <c r="G22" s="10" t="n">
        <v>17</v>
      </c>
      <c r="H22" s="10" t="n">
        <v>9</v>
      </c>
      <c r="I22" s="10" t="n">
        <v>10</v>
      </c>
      <c r="J22" s="10" t="n">
        <v>13</v>
      </c>
      <c r="K22" s="10" t="n">
        <v>21</v>
      </c>
      <c r="L22" s="10" t="n">
        <v>20</v>
      </c>
      <c r="M22" s="10" t="n">
        <v>18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5</v>
      </c>
      <c r="D23" s="10" t="n">
        <v>8</v>
      </c>
      <c r="E23" s="10" t="n">
        <v>2</v>
      </c>
      <c r="F23" s="10" t="n">
        <v>0</v>
      </c>
      <c r="G23" s="10" t="n">
        <v>1</v>
      </c>
      <c r="H23" s="10" t="n">
        <v>2</v>
      </c>
      <c r="I23" s="10" t="n">
        <v>0</v>
      </c>
      <c r="J23" s="10" t="n">
        <v>6</v>
      </c>
      <c r="K23" s="10" t="n">
        <v>15</v>
      </c>
      <c r="L23" s="10" t="n">
        <v>9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15</v>
      </c>
      <c r="D25" s="10" t="n">
        <v>4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15</v>
      </c>
      <c r="D26" s="10" t="n">
        <v>4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1945.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0.9</v>
      </c>
      <c r="C6" s="8" t="n">
        <v>2.8</v>
      </c>
      <c r="D6" s="8" t="n">
        <v>7.1</v>
      </c>
      <c r="E6" s="8" t="n">
        <v>12.2</v>
      </c>
      <c r="F6" s="8" t="n">
        <v>19.4</v>
      </c>
      <c r="G6" s="8" t="n">
        <v>23.7</v>
      </c>
      <c r="H6" s="8" t="n">
        <v>26.2</v>
      </c>
      <c r="I6" s="8" t="n">
        <v>24.9</v>
      </c>
      <c r="J6" s="8" t="n">
        <v>20</v>
      </c>
      <c r="K6" s="8" t="n">
        <v>12.6</v>
      </c>
      <c r="L6" s="8" t="n">
        <v>9.199999999999999</v>
      </c>
      <c r="M6" s="8" t="n">
        <v>4.8</v>
      </c>
      <c r="N6" s="9">
        <f>AVERAGE(B6:M6)</f>
        <v/>
      </c>
    </row>
    <row r="7">
      <c r="A7" s="7" t="inlineStr">
        <is>
          <t>Srednja maksimalna</t>
        </is>
      </c>
      <c r="B7" s="8" t="n">
        <v>5.2</v>
      </c>
      <c r="C7" s="8" t="n">
        <v>9.699999999999999</v>
      </c>
      <c r="D7" s="8" t="n">
        <v>13.5</v>
      </c>
      <c r="E7" s="8" t="n">
        <v>18.3</v>
      </c>
      <c r="F7" s="8" t="n">
        <v>25.7</v>
      </c>
      <c r="G7" s="8" t="n">
        <v>29.7</v>
      </c>
      <c r="H7" s="8" t="n">
        <v>32.6</v>
      </c>
      <c r="I7" s="8" t="n">
        <v>31</v>
      </c>
      <c r="J7" s="8" t="n">
        <v>25.6</v>
      </c>
      <c r="K7" s="8" t="n">
        <v>18.5</v>
      </c>
      <c r="L7" s="8" t="n">
        <v>13.8</v>
      </c>
      <c r="M7" s="8" t="n">
        <v>8.9</v>
      </c>
      <c r="N7" s="9">
        <f>AVERAGE(B7:M7)</f>
        <v/>
      </c>
    </row>
    <row r="8">
      <c r="A8" s="7" t="inlineStr">
        <is>
          <t>Srednja minimalna</t>
        </is>
      </c>
      <c r="B8" s="8" t="n">
        <v>-3.1</v>
      </c>
      <c r="C8" s="8" t="n">
        <v>-2.4</v>
      </c>
      <c r="D8" s="8" t="n">
        <v>1</v>
      </c>
      <c r="E8" s="8" t="n">
        <v>5.8</v>
      </c>
      <c r="F8" s="8" t="n">
        <v>12.3</v>
      </c>
      <c r="G8" s="8" t="n">
        <v>16.7</v>
      </c>
      <c r="H8" s="8" t="n">
        <v>18.9</v>
      </c>
      <c r="I8" s="8" t="n">
        <v>18.3</v>
      </c>
      <c r="J8" s="8" t="n">
        <v>14.8</v>
      </c>
      <c r="K8" s="8" t="n">
        <v>7.6</v>
      </c>
      <c r="L8" s="8" t="n">
        <v>5.6</v>
      </c>
      <c r="M8" s="8" t="n">
        <v>1.5</v>
      </c>
      <c r="N8" s="9">
        <f>AVERAGE(B8:M8)</f>
        <v/>
      </c>
    </row>
    <row r="9">
      <c r="A9" s="7" t="inlineStr">
        <is>
          <t>Apsolutni maksimum</t>
        </is>
      </c>
      <c r="B9" s="8" t="n">
        <v>9.1</v>
      </c>
      <c r="C9" s="8" t="n">
        <v>15.6</v>
      </c>
      <c r="D9" s="8" t="n">
        <v>19</v>
      </c>
      <c r="E9" s="8" t="n">
        <v>22.5</v>
      </c>
      <c r="F9" s="8" t="n">
        <v>31.6</v>
      </c>
      <c r="G9" s="8" t="n">
        <v>33.6</v>
      </c>
      <c r="H9" s="8" t="n">
        <v>38.4</v>
      </c>
      <c r="I9" s="8" t="n">
        <v>35.5</v>
      </c>
      <c r="J9" s="8" t="n">
        <v>33.2</v>
      </c>
      <c r="K9" s="8" t="n">
        <v>22.8</v>
      </c>
      <c r="L9" s="8" t="n">
        <v>20</v>
      </c>
      <c r="M9" s="8" t="n">
        <v>12.9</v>
      </c>
      <c r="N9" s="9">
        <f>MAX(B9:M9)</f>
        <v/>
      </c>
    </row>
    <row r="10">
      <c r="A10" s="7" t="inlineStr">
        <is>
          <t>Apsolutni minimum</t>
        </is>
      </c>
      <c r="B10" s="8" t="n">
        <v>-15</v>
      </c>
      <c r="C10" s="8" t="n">
        <v>-10.3</v>
      </c>
      <c r="D10" s="8" t="n">
        <v>-4.3</v>
      </c>
      <c r="E10" s="8" t="n">
        <v>2.3</v>
      </c>
      <c r="F10" s="8" t="n">
        <v>3</v>
      </c>
      <c r="G10" s="8" t="n">
        <v>12.7</v>
      </c>
      <c r="H10" s="8" t="n">
        <v>13.5</v>
      </c>
      <c r="I10" s="8" t="n">
        <v>13.9</v>
      </c>
      <c r="J10" s="8" t="n">
        <v>8.199999999999999</v>
      </c>
      <c r="K10" s="8" t="n">
        <v>2.7</v>
      </c>
      <c r="L10" s="8" t="n">
        <v>-2</v>
      </c>
      <c r="M10" s="8" t="n">
        <v>-7.9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27</v>
      </c>
      <c r="D11" s="10" t="n">
        <v>17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12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5</v>
      </c>
      <c r="G12" s="10" t="n">
        <v>15</v>
      </c>
      <c r="H12" s="10" t="n">
        <v>26</v>
      </c>
      <c r="I12" s="10" t="n">
        <v>22</v>
      </c>
      <c r="J12" s="10" t="n">
        <v>5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76.5</v>
      </c>
      <c r="C14" s="8" t="n">
        <v>71.90000000000001</v>
      </c>
      <c r="D14" s="8" t="n">
        <v>70.40000000000001</v>
      </c>
      <c r="E14" s="8" t="n">
        <v>68.3</v>
      </c>
      <c r="F14" s="8" t="n">
        <v>65.3</v>
      </c>
      <c r="G14" s="8" t="n">
        <v>55.5</v>
      </c>
      <c r="H14" s="8" t="n">
        <v>49</v>
      </c>
      <c r="I14" s="8" t="n">
        <v>53.1</v>
      </c>
      <c r="J14" s="8" t="n">
        <v>65.7</v>
      </c>
      <c r="K14" s="8" t="n">
        <v>77.3</v>
      </c>
      <c r="L14" s="8" t="n">
        <v>82.5</v>
      </c>
      <c r="M14" s="8" t="n">
        <v>77.90000000000001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156.5</v>
      </c>
      <c r="C16" s="8" t="n">
        <v>253.3</v>
      </c>
      <c r="D16" s="8" t="n">
        <v>315.7</v>
      </c>
      <c r="E16" s="8" t="n">
        <v>354.2</v>
      </c>
      <c r="F16" s="8" t="n">
        <v>411.5</v>
      </c>
      <c r="G16" s="8" t="n">
        <v>423</v>
      </c>
      <c r="H16" s="8" t="n">
        <v>432</v>
      </c>
      <c r="I16" s="8" t="n">
        <v>411.2</v>
      </c>
      <c r="J16" s="8" t="n">
        <v>294.1</v>
      </c>
      <c r="K16" s="8" t="n">
        <v>301.5</v>
      </c>
      <c r="L16" s="8" t="n">
        <v>175.2</v>
      </c>
      <c r="M16" s="8" t="n">
        <v>166.7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10</v>
      </c>
      <c r="D17" s="10" t="n">
        <v>14</v>
      </c>
      <c r="E17" s="10" t="n">
        <v>6</v>
      </c>
      <c r="F17" s="10" t="n">
        <v>15</v>
      </c>
      <c r="G17" s="10" t="n">
        <v>16</v>
      </c>
      <c r="H17" s="10" t="n">
        <v>21</v>
      </c>
      <c r="I17" s="10" t="n">
        <v>18</v>
      </c>
      <c r="J17" s="10" t="n">
        <v>12</v>
      </c>
      <c r="K17" s="10" t="n">
        <v>11</v>
      </c>
      <c r="L17" s="10" t="n">
        <v>5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19</v>
      </c>
      <c r="C18" s="10" t="n">
        <v>2</v>
      </c>
      <c r="D18" s="10" t="n">
        <v>5</v>
      </c>
      <c r="E18" s="10" t="n">
        <v>2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7</v>
      </c>
      <c r="K18" s="10" t="n">
        <v>6</v>
      </c>
      <c r="L18" s="10" t="n">
        <v>12</v>
      </c>
      <c r="M18" s="10" t="n">
        <v>16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236.2</v>
      </c>
      <c r="C20" s="8" t="n">
        <v>11.8</v>
      </c>
      <c r="D20" s="8" t="n">
        <v>45.4</v>
      </c>
      <c r="E20" s="8" t="n">
        <v>68.40000000000001</v>
      </c>
      <c r="F20" s="8" t="n">
        <v>61</v>
      </c>
      <c r="G20" s="8" t="n">
        <v>11.7</v>
      </c>
      <c r="H20" s="8" t="n">
        <v>16.6</v>
      </c>
      <c r="I20" s="8" t="n">
        <v>22.3</v>
      </c>
      <c r="J20" s="8" t="n">
        <v>239.7</v>
      </c>
      <c r="K20" s="8" t="n">
        <v>63.7</v>
      </c>
      <c r="L20" s="8" t="n">
        <v>226.3</v>
      </c>
      <c r="M20" s="8" t="n">
        <v>154.5</v>
      </c>
      <c r="N20" s="9">
        <f>SUM(B20:M20)</f>
        <v/>
      </c>
    </row>
    <row r="21">
      <c r="A21" s="7" t="inlineStr">
        <is>
          <t>Max. dnevna suma</t>
        </is>
      </c>
      <c r="B21" s="8" t="n">
        <v>36.4</v>
      </c>
      <c r="C21" s="8" t="n">
        <v>11.3</v>
      </c>
      <c r="D21" s="8" t="n">
        <v>9.800000000000001</v>
      </c>
      <c r="E21" s="8" t="n">
        <v>19.6</v>
      </c>
      <c r="F21" s="8" t="n">
        <v>19.3</v>
      </c>
      <c r="G21" s="8" t="n">
        <v>2.7</v>
      </c>
      <c r="H21" s="8" t="n">
        <v>5.7</v>
      </c>
      <c r="I21" s="8" t="n">
        <v>15.4</v>
      </c>
      <c r="J21" s="8" t="n">
        <v>66.3</v>
      </c>
      <c r="K21" s="8" t="n">
        <v>18</v>
      </c>
      <c r="L21" s="8" t="n">
        <v>42.3</v>
      </c>
      <c r="M21" s="8" t="n">
        <v>57.9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23</v>
      </c>
      <c r="C22" s="10" t="n">
        <v>2</v>
      </c>
      <c r="D22" s="10" t="n">
        <v>14</v>
      </c>
      <c r="E22" s="10" t="n">
        <v>15</v>
      </c>
      <c r="F22" s="10" t="n">
        <v>13</v>
      </c>
      <c r="G22" s="10" t="n">
        <v>12</v>
      </c>
      <c r="H22" s="10" t="n">
        <v>13</v>
      </c>
      <c r="I22" s="10" t="n">
        <v>10</v>
      </c>
      <c r="J22" s="10" t="n">
        <v>15</v>
      </c>
      <c r="K22" s="10" t="n">
        <v>12</v>
      </c>
      <c r="L22" s="10" t="n">
        <v>19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8</v>
      </c>
      <c r="C23" s="10" t="n">
        <v>1</v>
      </c>
      <c r="D23" s="10" t="n">
        <v>0</v>
      </c>
      <c r="E23" s="10" t="n">
        <v>3</v>
      </c>
      <c r="F23" s="10" t="n">
        <v>3</v>
      </c>
      <c r="G23" s="10" t="n">
        <v>0</v>
      </c>
      <c r="H23" s="10" t="n">
        <v>0</v>
      </c>
      <c r="I23" s="10" t="n">
        <v>1</v>
      </c>
      <c r="J23" s="10" t="n">
        <v>6</v>
      </c>
      <c r="K23" s="10" t="n">
        <v>2</v>
      </c>
      <c r="L23" s="10" t="n">
        <v>10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10</v>
      </c>
      <c r="C25" s="10" t="n">
        <v>0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10</v>
      </c>
      <c r="C26" s="10" t="n">
        <v>0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1946.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</v>
      </c>
      <c r="C6" s="8" t="n">
        <v>4</v>
      </c>
      <c r="D6" s="8" t="n">
        <v>8.800000000000001</v>
      </c>
      <c r="E6" s="8" t="n">
        <v>13.3</v>
      </c>
      <c r="F6" s="8" t="n">
        <v>18.4</v>
      </c>
      <c r="G6" s="8" t="n">
        <v>22.5</v>
      </c>
      <c r="H6" s="8" t="n">
        <v>26.6</v>
      </c>
      <c r="I6" s="8" t="n">
        <v>26.6</v>
      </c>
      <c r="J6" s="8" t="n">
        <v>22.9</v>
      </c>
      <c r="K6" s="8" t="n">
        <v>13</v>
      </c>
      <c r="L6" s="8" t="n">
        <v>11.3</v>
      </c>
      <c r="M6" s="8" t="n">
        <v>3.6</v>
      </c>
      <c r="N6" s="9">
        <f>AVERAGE(B6:M6)</f>
        <v/>
      </c>
    </row>
    <row r="7">
      <c r="A7" s="7" t="inlineStr">
        <is>
          <t>Srednja maksimalna</t>
        </is>
      </c>
      <c r="B7" s="8" t="n">
        <v>7.9</v>
      </c>
      <c r="C7" s="8" t="n">
        <v>9.199999999999999</v>
      </c>
      <c r="D7" s="8" t="n">
        <v>14.4</v>
      </c>
      <c r="E7" s="8" t="n">
        <v>19.4</v>
      </c>
      <c r="F7" s="8" t="n">
        <v>23.9</v>
      </c>
      <c r="G7" s="8" t="n">
        <v>28.4</v>
      </c>
      <c r="H7" s="8" t="n">
        <v>32.8</v>
      </c>
      <c r="I7" s="8" t="n">
        <v>33.2</v>
      </c>
      <c r="J7" s="8" t="n">
        <v>30.1</v>
      </c>
      <c r="K7" s="8" t="n">
        <v>18.4</v>
      </c>
      <c r="L7" s="8" t="n">
        <v>15.1</v>
      </c>
      <c r="M7" s="8" t="n">
        <v>7.8</v>
      </c>
      <c r="N7" s="9">
        <f>AVERAGE(B7:M7)</f>
        <v/>
      </c>
    </row>
    <row r="8">
      <c r="A8" s="7" t="inlineStr">
        <is>
          <t>Srednja minimalna</t>
        </is>
      </c>
      <c r="B8" s="8" t="n">
        <v>-0.3</v>
      </c>
      <c r="C8" s="8" t="n">
        <v>-0.7</v>
      </c>
      <c r="D8" s="8" t="n">
        <v>3.6</v>
      </c>
      <c r="E8" s="8" t="n">
        <v>7</v>
      </c>
      <c r="F8" s="8" t="n">
        <v>12</v>
      </c>
      <c r="G8" s="8" t="n">
        <v>15.3</v>
      </c>
      <c r="H8" s="8" t="n">
        <v>19.1</v>
      </c>
      <c r="I8" s="8" t="n">
        <v>18.8</v>
      </c>
      <c r="J8" s="8" t="n">
        <v>15.7</v>
      </c>
      <c r="K8" s="8" t="n">
        <v>8</v>
      </c>
      <c r="L8" s="8" t="n">
        <v>7.9</v>
      </c>
      <c r="M8" s="8" t="n">
        <v>0.7</v>
      </c>
      <c r="N8" s="9">
        <f>AVERAGE(B8:M8)</f>
        <v/>
      </c>
    </row>
    <row r="9">
      <c r="A9" s="7" t="inlineStr">
        <is>
          <t>Apsolutni maksimum</t>
        </is>
      </c>
      <c r="B9" s="8" t="n">
        <v>11.6</v>
      </c>
      <c r="C9" s="8" t="n">
        <v>14.1</v>
      </c>
      <c r="D9" s="8" t="n">
        <v>18.6</v>
      </c>
      <c r="E9" s="8" t="n">
        <v>24.4</v>
      </c>
      <c r="F9" s="8" t="n">
        <v>27.3</v>
      </c>
      <c r="G9" s="8" t="n">
        <v>34.1</v>
      </c>
      <c r="H9" s="8" t="n">
        <v>36.5</v>
      </c>
      <c r="I9" s="8" t="n">
        <v>38.3</v>
      </c>
      <c r="J9" s="8" t="n">
        <v>38</v>
      </c>
      <c r="K9" s="8" t="n">
        <v>29.4</v>
      </c>
      <c r="L9" s="8" t="n">
        <v>18.6</v>
      </c>
      <c r="M9" s="8" t="n">
        <v>12.8</v>
      </c>
      <c r="N9" s="9">
        <f>MAX(B9:M9)</f>
        <v/>
      </c>
    </row>
    <row r="10">
      <c r="A10" s="7" t="inlineStr">
        <is>
          <t>Apsolutni minimum</t>
        </is>
      </c>
      <c r="B10" s="8" t="n">
        <v>-5.9</v>
      </c>
      <c r="C10" s="8" t="n">
        <v>-5.1</v>
      </c>
      <c r="D10" s="8" t="n">
        <v>-0.6</v>
      </c>
      <c r="E10" s="8" t="n">
        <v>1.6</v>
      </c>
      <c r="F10" s="8" t="n">
        <v>9.800000000000001</v>
      </c>
      <c r="G10" s="8" t="n">
        <v>10.8</v>
      </c>
      <c r="H10" s="8" t="n">
        <v>14.9</v>
      </c>
      <c r="I10" s="8" t="n">
        <v>14.4</v>
      </c>
      <c r="J10" s="8" t="n">
        <v>12.1</v>
      </c>
      <c r="K10" s="8" t="n">
        <v>0.6</v>
      </c>
      <c r="L10" s="8" t="n">
        <v>0.7</v>
      </c>
      <c r="M10" s="8" t="n">
        <v>-4.3</v>
      </c>
      <c r="N10" s="9">
        <f>MIN(B10:M10)</f>
        <v/>
      </c>
    </row>
    <row r="11">
      <c r="A11" s="7" t="inlineStr">
        <is>
          <t>Sr. br. mraznih dana</t>
        </is>
      </c>
      <c r="B11" s="10" t="n">
        <v>20</v>
      </c>
      <c r="C11" s="10" t="n">
        <v>20</v>
      </c>
      <c r="D11" s="10" t="n">
        <v>3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18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10</v>
      </c>
      <c r="H12" s="10" t="n">
        <v>23</v>
      </c>
      <c r="I12" s="10" t="n">
        <v>24</v>
      </c>
      <c r="J12" s="10" t="n">
        <v>9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74.3</v>
      </c>
      <c r="C14" s="8" t="n">
        <v>72.90000000000001</v>
      </c>
      <c r="D14" s="8" t="n">
        <v>74.3</v>
      </c>
      <c r="E14" s="8" t="n">
        <v>71.3</v>
      </c>
      <c r="F14" s="8" t="n">
        <v>71.5</v>
      </c>
      <c r="G14" s="8" t="n">
        <v>56.9</v>
      </c>
      <c r="H14" s="8" t="n">
        <v>44.1</v>
      </c>
      <c r="I14" s="8" t="n">
        <v>44.4</v>
      </c>
      <c r="J14" s="8" t="n">
        <v>49.7</v>
      </c>
      <c r="K14" s="8" t="n">
        <v>65.40000000000001</v>
      </c>
      <c r="L14" s="8" t="n">
        <v>83.5</v>
      </c>
      <c r="M14" s="8" t="n">
        <v>73.2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193.9</v>
      </c>
      <c r="C16" s="8" t="n">
        <v>222.7</v>
      </c>
      <c r="D16" s="8" t="n">
        <v>284.8</v>
      </c>
      <c r="E16" s="8" t="n">
        <v>345.3</v>
      </c>
      <c r="F16" s="8" t="n">
        <v>404.1</v>
      </c>
      <c r="G16" s="8" t="n">
        <v>418.5</v>
      </c>
      <c r="H16" s="8" t="n">
        <v>432.3</v>
      </c>
      <c r="I16" s="8" t="n">
        <v>415</v>
      </c>
      <c r="J16" s="8" t="n">
        <v>355.3</v>
      </c>
      <c r="K16" s="8" t="n">
        <v>253.7</v>
      </c>
      <c r="L16" s="8" t="n">
        <v>164.1</v>
      </c>
      <c r="M16" s="8" t="n">
        <v>199.2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6</v>
      </c>
      <c r="D17" s="10" t="n">
        <v>8</v>
      </c>
      <c r="E17" s="10" t="n">
        <v>9</v>
      </c>
      <c r="F17" s="10" t="n">
        <v>8</v>
      </c>
      <c r="G17" s="10" t="n">
        <v>13</v>
      </c>
      <c r="H17" s="10" t="n">
        <v>27</v>
      </c>
      <c r="I17" s="10" t="n">
        <v>25</v>
      </c>
      <c r="J17" s="10" t="n">
        <v>22</v>
      </c>
      <c r="K17" s="10" t="n">
        <v>9</v>
      </c>
      <c r="L17" s="10" t="n">
        <v>4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12</v>
      </c>
      <c r="C18" s="10" t="n">
        <v>7</v>
      </c>
      <c r="D18" s="10" t="n">
        <v>12</v>
      </c>
      <c r="E18" s="10" t="n">
        <v>5</v>
      </c>
      <c r="F18" s="10" t="n">
        <v>3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9</v>
      </c>
      <c r="L18" s="10" t="n">
        <v>16</v>
      </c>
      <c r="M18" s="10" t="n">
        <v>19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74.5</v>
      </c>
      <c r="C20" s="8" t="n">
        <v>57.8</v>
      </c>
      <c r="D20" s="8" t="n">
        <v>87.2</v>
      </c>
      <c r="E20" s="8" t="n">
        <v>75.2</v>
      </c>
      <c r="F20" s="8" t="n">
        <v>48.7</v>
      </c>
      <c r="G20" s="8" t="n">
        <v>21.2</v>
      </c>
      <c r="H20" s="8" t="n">
        <v>2.6</v>
      </c>
      <c r="I20" s="8" t="n">
        <v>16.9</v>
      </c>
      <c r="J20" s="8" t="n">
        <v>10.2</v>
      </c>
      <c r="K20" s="8" t="n">
        <v>268.2</v>
      </c>
      <c r="L20" s="8" t="n">
        <v>386</v>
      </c>
      <c r="M20" s="8" t="n">
        <v>145.4</v>
      </c>
      <c r="N20" s="9">
        <f>SUM(B20:M20)</f>
        <v/>
      </c>
    </row>
    <row r="21">
      <c r="A21" s="7" t="inlineStr">
        <is>
          <t>Max. dnevna suma</t>
        </is>
      </c>
      <c r="B21" s="8" t="n">
        <v>19.9</v>
      </c>
      <c r="C21" s="8" t="n">
        <v>18.3</v>
      </c>
      <c r="D21" s="8" t="n">
        <v>19.2</v>
      </c>
      <c r="E21" s="8" t="n">
        <v>39.7</v>
      </c>
      <c r="F21" s="8" t="n">
        <v>12.3</v>
      </c>
      <c r="G21" s="8" t="n">
        <v>6.5</v>
      </c>
      <c r="H21" s="8" t="n">
        <v>1</v>
      </c>
      <c r="I21" s="8" t="n">
        <v>9.4</v>
      </c>
      <c r="J21" s="8" t="n">
        <v>10.2</v>
      </c>
      <c r="K21" s="8" t="n">
        <v>53.6</v>
      </c>
      <c r="L21" s="8" t="n">
        <v>52.5</v>
      </c>
      <c r="M21" s="8" t="n">
        <v>40.8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18</v>
      </c>
      <c r="C22" s="10" t="n">
        <v>15</v>
      </c>
      <c r="D22" s="10" t="n">
        <v>16</v>
      </c>
      <c r="E22" s="10" t="n">
        <v>17</v>
      </c>
      <c r="F22" s="10" t="n">
        <v>22</v>
      </c>
      <c r="G22" s="10" t="n">
        <v>9</v>
      </c>
      <c r="H22" s="10" t="n">
        <v>9</v>
      </c>
      <c r="I22" s="10" t="n">
        <v>6</v>
      </c>
      <c r="J22" s="10" t="n">
        <v>1</v>
      </c>
      <c r="K22" s="10" t="n">
        <v>14</v>
      </c>
      <c r="L22" s="10" t="n">
        <v>23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1</v>
      </c>
      <c r="D23" s="10" t="n">
        <v>2</v>
      </c>
      <c r="E23" s="10" t="n">
        <v>1</v>
      </c>
      <c r="F23" s="10" t="n">
        <v>1</v>
      </c>
      <c r="G23" s="10" t="n">
        <v>0</v>
      </c>
      <c r="H23" s="10" t="n">
        <v>0</v>
      </c>
      <c r="I23" s="10" t="n">
        <v>0</v>
      </c>
      <c r="J23" s="10" t="n">
        <v>1</v>
      </c>
      <c r="K23" s="10" t="n">
        <v>8</v>
      </c>
      <c r="L23" s="10" t="n">
        <v>13</v>
      </c>
      <c r="M23" s="10" t="n">
        <v>6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4</v>
      </c>
      <c r="C25" s="10" t="n">
        <v>2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4</v>
      </c>
      <c r="C26" s="10" t="n">
        <v>2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1947.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-0.1</v>
      </c>
      <c r="C6" s="8" t="n">
        <v>7.7</v>
      </c>
      <c r="D6" s="8" t="n">
        <v>11</v>
      </c>
      <c r="E6" s="8" t="n">
        <v>14.1</v>
      </c>
      <c r="F6" s="8" t="n">
        <v>18.3</v>
      </c>
      <c r="G6" s="8" t="n">
        <v>22</v>
      </c>
      <c r="H6" s="8" t="n">
        <v>25.1</v>
      </c>
      <c r="I6" s="8" t="n">
        <v>24.9</v>
      </c>
      <c r="J6" s="8" t="n">
        <v>21.5</v>
      </c>
      <c r="K6" s="8" t="n">
        <v>14.5</v>
      </c>
      <c r="L6" s="8" t="n">
        <v>10.2</v>
      </c>
      <c r="M6" s="8" t="n">
        <v>4.8</v>
      </c>
      <c r="N6" s="9">
        <f>AVERAGE(B6:M6)</f>
        <v/>
      </c>
    </row>
    <row r="7">
      <c r="A7" s="7" t="inlineStr">
        <is>
          <t>Srednja maksimalna</t>
        </is>
      </c>
      <c r="B7" s="8" t="n">
        <v>5.2</v>
      </c>
      <c r="C7" s="8" t="n">
        <v>11.1</v>
      </c>
      <c r="D7" s="8" t="n">
        <v>15.6</v>
      </c>
      <c r="E7" s="8" t="n">
        <v>20.2</v>
      </c>
      <c r="F7" s="8" t="n">
        <v>23.9</v>
      </c>
      <c r="G7" s="8" t="n">
        <v>27.5</v>
      </c>
      <c r="H7" s="8" t="n">
        <v>31</v>
      </c>
      <c r="I7" s="8" t="n">
        <v>30.7</v>
      </c>
      <c r="J7" s="8" t="n">
        <v>28.5</v>
      </c>
      <c r="K7" s="8" t="n">
        <v>20.8</v>
      </c>
      <c r="L7" s="8" t="n">
        <v>15.1</v>
      </c>
      <c r="M7" s="8" t="n">
        <v>9</v>
      </c>
      <c r="N7" s="9">
        <f>AVERAGE(B7:M7)</f>
        <v/>
      </c>
    </row>
    <row r="8">
      <c r="A8" s="7" t="inlineStr">
        <is>
          <t>Srednja minimalna</t>
        </is>
      </c>
      <c r="B8" s="8" t="n">
        <v>-4.1</v>
      </c>
      <c r="C8" s="8" t="n">
        <v>4.3</v>
      </c>
      <c r="D8" s="8" t="n">
        <v>6.7</v>
      </c>
      <c r="E8" s="8" t="n">
        <v>7.8</v>
      </c>
      <c r="F8" s="8" t="n">
        <v>12.7</v>
      </c>
      <c r="G8" s="8" t="n">
        <v>16.3</v>
      </c>
      <c r="H8" s="8" t="n">
        <v>18.7</v>
      </c>
      <c r="I8" s="8" t="n">
        <v>19</v>
      </c>
      <c r="J8" s="8" t="n">
        <v>15.3</v>
      </c>
      <c r="K8" s="8" t="n">
        <v>9</v>
      </c>
      <c r="L8" s="8" t="n">
        <v>6.1</v>
      </c>
      <c r="M8" s="8" t="n">
        <v>1.6</v>
      </c>
      <c r="N8" s="9">
        <f>AVERAGE(B8:M8)</f>
        <v/>
      </c>
    </row>
    <row r="9">
      <c r="A9" s="7" t="inlineStr">
        <is>
          <t>Apsolutni maksimum</t>
        </is>
      </c>
      <c r="B9" s="8" t="n">
        <v>12.1</v>
      </c>
      <c r="C9" s="8" t="n">
        <v>15.7</v>
      </c>
      <c r="D9" s="8" t="n">
        <v>20.4</v>
      </c>
      <c r="E9" s="8" t="n">
        <v>26.7</v>
      </c>
      <c r="F9" s="8" t="n">
        <v>29.2</v>
      </c>
      <c r="G9" s="8" t="n">
        <v>32.2</v>
      </c>
      <c r="H9" s="8" t="n">
        <v>35.8</v>
      </c>
      <c r="I9" s="8" t="n">
        <v>36.7</v>
      </c>
      <c r="J9" s="8" t="n">
        <v>34.2</v>
      </c>
      <c r="K9" s="8" t="n">
        <v>27.6</v>
      </c>
      <c r="L9" s="8" t="n">
        <v>18.7</v>
      </c>
      <c r="M9" s="8" t="n">
        <v>14.5</v>
      </c>
      <c r="N9" s="9">
        <f>MAX(B9:M9)</f>
        <v/>
      </c>
    </row>
    <row r="10">
      <c r="A10" s="7" t="inlineStr">
        <is>
          <t>Apsolutni minimum</t>
        </is>
      </c>
      <c r="B10" s="8" t="n">
        <v>-10.2</v>
      </c>
      <c r="C10" s="8" t="n">
        <v>-3.3</v>
      </c>
      <c r="D10" s="8" t="n">
        <v>-0.9</v>
      </c>
      <c r="E10" s="8" t="n">
        <v>1.6</v>
      </c>
      <c r="F10" s="8" t="n">
        <v>9.4</v>
      </c>
      <c r="G10" s="8" t="n">
        <v>11.8</v>
      </c>
      <c r="H10" s="8" t="n">
        <v>14.9</v>
      </c>
      <c r="I10" s="8" t="n">
        <v>12.9</v>
      </c>
      <c r="J10" s="8" t="n">
        <v>11.6</v>
      </c>
      <c r="K10" s="8" t="n">
        <v>-0</v>
      </c>
      <c r="L10" s="8" t="n">
        <v>-2.3</v>
      </c>
      <c r="M10" s="8" t="n">
        <v>-6.1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2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15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4</v>
      </c>
      <c r="H12" s="10" t="n">
        <v>19</v>
      </c>
      <c r="I12" s="10" t="n">
        <v>22</v>
      </c>
      <c r="J12" s="10" t="n">
        <v>10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66.7</v>
      </c>
      <c r="C14" s="8" t="n">
        <v>84.90000000000001</v>
      </c>
      <c r="D14" s="8" t="n">
        <v>74.7</v>
      </c>
      <c r="E14" s="8" t="n">
        <v>70.2</v>
      </c>
      <c r="F14" s="8" t="n">
        <v>69.59999999999999</v>
      </c>
      <c r="G14" s="8" t="n">
        <v>64.90000000000001</v>
      </c>
      <c r="H14" s="8" t="n">
        <v>55.1</v>
      </c>
      <c r="I14" s="8" t="n">
        <v>53.5</v>
      </c>
      <c r="J14" s="8" t="n">
        <v>59</v>
      </c>
      <c r="K14" s="8" t="n">
        <v>57.6</v>
      </c>
      <c r="L14" s="8" t="n">
        <v>79.3</v>
      </c>
      <c r="M14" s="8" t="n">
        <v>76.90000000000001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217.5</v>
      </c>
      <c r="C16" s="8" t="n">
        <v>126.9</v>
      </c>
      <c r="D16" s="8" t="n">
        <v>277</v>
      </c>
      <c r="E16" s="8" t="n">
        <v>339.9</v>
      </c>
      <c r="F16" s="8" t="n">
        <v>355</v>
      </c>
      <c r="G16" s="8" t="n">
        <v>409</v>
      </c>
      <c r="H16" s="8" t="n">
        <v>431.5</v>
      </c>
      <c r="I16" s="8" t="n">
        <v>386.1</v>
      </c>
      <c r="J16" s="8" t="n">
        <v>335.9</v>
      </c>
      <c r="K16" s="8" t="n">
        <v>271.3</v>
      </c>
      <c r="L16" s="8" t="n">
        <v>208.8</v>
      </c>
      <c r="M16" s="8" t="n">
        <v>183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1</v>
      </c>
      <c r="D17" s="10" t="n">
        <v>0</v>
      </c>
      <c r="E17" s="10" t="n">
        <v>9</v>
      </c>
      <c r="F17" s="10" t="n">
        <v>5</v>
      </c>
      <c r="G17" s="10" t="n">
        <v>9</v>
      </c>
      <c r="H17" s="10" t="n">
        <v>21</v>
      </c>
      <c r="I17" s="10" t="n">
        <v>16</v>
      </c>
      <c r="J17" s="10" t="n">
        <v>15</v>
      </c>
      <c r="K17" s="10" t="n">
        <v>15</v>
      </c>
      <c r="L17" s="10" t="n">
        <v>4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7</v>
      </c>
      <c r="C18" s="10" t="n">
        <v>20</v>
      </c>
      <c r="D18" s="10" t="n">
        <v>12</v>
      </c>
      <c r="E18" s="10" t="n">
        <v>4</v>
      </c>
      <c r="F18" s="10" t="n">
        <v>9</v>
      </c>
      <c r="G18" s="10" t="n">
        <v>1</v>
      </c>
      <c r="H18" s="10" t="n">
        <v>0</v>
      </c>
      <c r="I18" s="10" t="n">
        <v>2</v>
      </c>
      <c r="J18" s="10" t="n">
        <v>3</v>
      </c>
      <c r="K18" s="10" t="n">
        <v>8</v>
      </c>
      <c r="L18" s="10" t="n">
        <v>10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114.8</v>
      </c>
      <c r="C20" s="8" t="n">
        <v>295.2</v>
      </c>
      <c r="D20" s="8" t="n">
        <v>116.8</v>
      </c>
      <c r="E20" s="8" t="n">
        <v>43.1</v>
      </c>
      <c r="F20" s="8" t="n">
        <v>96.8</v>
      </c>
      <c r="G20" s="8" t="n">
        <v>66.7</v>
      </c>
      <c r="H20" s="8" t="n">
        <v>8.800000000000001</v>
      </c>
      <c r="I20" s="8" t="n">
        <v>47.8</v>
      </c>
      <c r="J20" s="8" t="n">
        <v>22</v>
      </c>
      <c r="K20" s="8" t="n">
        <v>118</v>
      </c>
      <c r="L20" s="8" t="n">
        <v>149.3</v>
      </c>
      <c r="M20" s="8" t="n">
        <v>190.8</v>
      </c>
      <c r="N20" s="9">
        <f>SUM(B20:M20)</f>
        <v/>
      </c>
    </row>
    <row r="21">
      <c r="A21" s="7" t="inlineStr">
        <is>
          <t>Max. dnevna suma</t>
        </is>
      </c>
      <c r="B21" s="8" t="n">
        <v>55.1</v>
      </c>
      <c r="C21" s="8" t="n">
        <v>44.1</v>
      </c>
      <c r="D21" s="8" t="n">
        <v>24.9</v>
      </c>
      <c r="E21" s="8" t="n">
        <v>13.2</v>
      </c>
      <c r="F21" s="8" t="n">
        <v>21</v>
      </c>
      <c r="G21" s="8" t="n">
        <v>23</v>
      </c>
      <c r="H21" s="8" t="n">
        <v>4.1</v>
      </c>
      <c r="I21" s="8" t="n">
        <v>18.7</v>
      </c>
      <c r="J21" s="8" t="n">
        <v>16.1</v>
      </c>
      <c r="K21" s="8" t="n">
        <v>47.8</v>
      </c>
      <c r="L21" s="8" t="n">
        <v>38.6</v>
      </c>
      <c r="M21" s="8" t="n">
        <v>60.4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11</v>
      </c>
      <c r="C22" s="10" t="n">
        <v>27</v>
      </c>
      <c r="D22" s="10" t="n">
        <v>19</v>
      </c>
      <c r="E22" s="10" t="n">
        <v>11</v>
      </c>
      <c r="F22" s="10" t="n">
        <v>22</v>
      </c>
      <c r="G22" s="10" t="n">
        <v>18</v>
      </c>
      <c r="H22" s="10" t="n">
        <v>8</v>
      </c>
      <c r="I22" s="10" t="n">
        <v>15</v>
      </c>
      <c r="J22" s="10" t="n">
        <v>8</v>
      </c>
      <c r="K22" s="10" t="n">
        <v>10</v>
      </c>
      <c r="L22" s="10" t="n">
        <v>17</v>
      </c>
      <c r="M22" s="10" t="n">
        <v>18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7</v>
      </c>
      <c r="D23" s="10" t="n">
        <v>4</v>
      </c>
      <c r="E23" s="10" t="n">
        <v>2</v>
      </c>
      <c r="F23" s="10" t="n">
        <v>3</v>
      </c>
      <c r="G23" s="10" t="n">
        <v>2</v>
      </c>
      <c r="H23" s="10" t="n">
        <v>0</v>
      </c>
      <c r="I23" s="10" t="n">
        <v>2</v>
      </c>
      <c r="J23" s="10" t="n">
        <v>1</v>
      </c>
      <c r="K23" s="10" t="n">
        <v>4</v>
      </c>
      <c r="L23" s="10" t="n">
        <v>4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1948.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7.3</v>
      </c>
      <c r="C6" s="8" t="n">
        <v>3.3</v>
      </c>
      <c r="D6" s="8" t="n">
        <v>7.4</v>
      </c>
      <c r="E6" s="8" t="n">
        <v>12.2</v>
      </c>
      <c r="F6" s="8" t="n">
        <v>17.4</v>
      </c>
      <c r="G6" s="8" t="n">
        <v>19.1</v>
      </c>
      <c r="H6" s="8" t="n">
        <v>21.7</v>
      </c>
      <c r="I6" s="8" t="n">
        <v>23.9</v>
      </c>
      <c r="J6" s="8" t="n">
        <v>19.7</v>
      </c>
      <c r="K6" s="8" t="n">
        <v>15.6</v>
      </c>
      <c r="L6" s="8" t="n">
        <v>8.5</v>
      </c>
      <c r="M6" s="8" t="n">
        <v>3</v>
      </c>
      <c r="N6" s="9">
        <f>AVERAGE(B6:M6)</f>
        <v/>
      </c>
    </row>
    <row r="7">
      <c r="A7" s="7" t="inlineStr">
        <is>
          <t>Srednja maksimalna</t>
        </is>
      </c>
      <c r="B7" s="8" t="n">
        <v>10.7</v>
      </c>
      <c r="C7" s="8" t="n">
        <v>8.800000000000001</v>
      </c>
      <c r="D7" s="8" t="n">
        <v>14.6</v>
      </c>
      <c r="E7" s="8" t="n">
        <v>17.3</v>
      </c>
      <c r="F7" s="8" t="n">
        <v>22.4</v>
      </c>
      <c r="G7" s="8" t="n">
        <v>23.8</v>
      </c>
      <c r="H7" s="8" t="n">
        <v>27.1</v>
      </c>
      <c r="I7" s="8" t="n">
        <v>30.4</v>
      </c>
      <c r="J7" s="8" t="n">
        <v>25.8</v>
      </c>
      <c r="K7" s="8" t="n">
        <v>20.1</v>
      </c>
      <c r="L7" s="8" t="n">
        <v>13.7</v>
      </c>
      <c r="M7" s="8" t="n">
        <v>9.1</v>
      </c>
      <c r="N7" s="9">
        <f>AVERAGE(B7:M7)</f>
        <v/>
      </c>
    </row>
    <row r="8">
      <c r="A8" s="7" t="inlineStr">
        <is>
          <t>Srednja minimalna</t>
        </is>
      </c>
      <c r="B8" s="8" t="n">
        <v>3.9</v>
      </c>
      <c r="C8" s="8" t="n">
        <v>-1.1</v>
      </c>
      <c r="D8" s="8" t="n">
        <v>1.1</v>
      </c>
      <c r="E8" s="8" t="n">
        <v>7.2</v>
      </c>
      <c r="F8" s="8" t="n">
        <v>12.2</v>
      </c>
      <c r="G8" s="8" t="n">
        <v>13.8</v>
      </c>
      <c r="H8" s="8" t="n">
        <v>15.9</v>
      </c>
      <c r="I8" s="8" t="n">
        <v>17</v>
      </c>
      <c r="J8" s="8" t="n">
        <v>14.4</v>
      </c>
      <c r="K8" s="8" t="n">
        <v>11.7</v>
      </c>
      <c r="L8" s="8" t="n">
        <v>4.7</v>
      </c>
      <c r="M8" s="8" t="n">
        <v>-0.6</v>
      </c>
      <c r="N8" s="9">
        <f>AVERAGE(B8:M8)</f>
        <v/>
      </c>
    </row>
    <row r="9">
      <c r="A9" s="7" t="inlineStr">
        <is>
          <t>Apsolutni maksimum</t>
        </is>
      </c>
      <c r="B9" s="8" t="n">
        <v>14</v>
      </c>
      <c r="C9" s="8" t="n">
        <v>14.7</v>
      </c>
      <c r="D9" s="8" t="n">
        <v>19.8</v>
      </c>
      <c r="E9" s="8" t="n">
        <v>21.2</v>
      </c>
      <c r="F9" s="8" t="n">
        <v>27</v>
      </c>
      <c r="G9" s="8" t="n">
        <v>28.5</v>
      </c>
      <c r="H9" s="8" t="n">
        <v>32.7</v>
      </c>
      <c r="I9" s="8" t="n">
        <v>37.3</v>
      </c>
      <c r="J9" s="8" t="n">
        <v>28.9</v>
      </c>
      <c r="K9" s="8" t="n">
        <v>25.3</v>
      </c>
      <c r="L9" s="8" t="n">
        <v>19.8</v>
      </c>
      <c r="M9" s="8" t="n">
        <v>13.8</v>
      </c>
      <c r="N9" s="9">
        <f>MAX(B9:M9)</f>
        <v/>
      </c>
    </row>
    <row r="10">
      <c r="A10" s="7" t="inlineStr">
        <is>
          <t>Apsolutni minimum</t>
        </is>
      </c>
      <c r="B10" s="8" t="n">
        <v>-5.9</v>
      </c>
      <c r="C10" s="8" t="n">
        <v>-6</v>
      </c>
      <c r="D10" s="8" t="n">
        <v>-2.3</v>
      </c>
      <c r="E10" s="8" t="n">
        <v>2.6</v>
      </c>
      <c r="F10" s="8" t="n">
        <v>6.8</v>
      </c>
      <c r="G10" s="8" t="n">
        <v>9.199999999999999</v>
      </c>
      <c r="H10" s="8" t="n">
        <v>12</v>
      </c>
      <c r="I10" s="8" t="n">
        <v>13.3</v>
      </c>
      <c r="J10" s="8" t="n">
        <v>9.4</v>
      </c>
      <c r="K10" s="8" t="n">
        <v>3.7</v>
      </c>
      <c r="L10" s="8" t="n">
        <v>-2.7</v>
      </c>
      <c r="M10" s="8" t="n">
        <v>-3.6</v>
      </c>
      <c r="N10" s="9">
        <f>MIN(B10:M10)</f>
        <v/>
      </c>
    </row>
    <row r="11">
      <c r="A11" s="7" t="inlineStr">
        <is>
          <t>Sr. br. mraznih dana</t>
        </is>
      </c>
      <c r="B11" s="10" t="n">
        <v>8</v>
      </c>
      <c r="C11" s="10" t="n">
        <v>21</v>
      </c>
      <c r="D11" s="10" t="n">
        <v>9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7</v>
      </c>
      <c r="M11" s="10" t="n">
        <v>20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10</v>
      </c>
      <c r="I12" s="10" t="n">
        <v>19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85.5</v>
      </c>
      <c r="C14" s="8" t="n">
        <v>68.2</v>
      </c>
      <c r="D14" s="8" t="n">
        <v>62.8</v>
      </c>
      <c r="E14" s="8" t="n">
        <v>77.5</v>
      </c>
      <c r="F14" s="8" t="n">
        <v>75.5</v>
      </c>
      <c r="G14" s="8" t="n">
        <v>71.90000000000001</v>
      </c>
      <c r="H14" s="8" t="n">
        <v>66.5</v>
      </c>
      <c r="I14" s="8" t="n">
        <v>59.5</v>
      </c>
      <c r="J14" s="8" t="n">
        <v>63.3</v>
      </c>
      <c r="K14" s="8" t="n">
        <v>77.7</v>
      </c>
      <c r="L14" s="8" t="n">
        <v>74</v>
      </c>
      <c r="M14" s="8" t="n">
        <v>73.59999999999999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142.3</v>
      </c>
      <c r="C16" s="8" t="n">
        <v>225.9</v>
      </c>
      <c r="D16" s="8" t="n">
        <v>341.7</v>
      </c>
      <c r="E16" s="8" t="n">
        <v>303.2</v>
      </c>
      <c r="F16" s="8" t="n">
        <v>367.1</v>
      </c>
      <c r="G16" s="8" t="n">
        <v>373.8</v>
      </c>
      <c r="H16" s="8" t="n">
        <v>417.5</v>
      </c>
      <c r="I16" s="8" t="n">
        <v>408.9</v>
      </c>
      <c r="J16" s="8" t="n">
        <v>337.1</v>
      </c>
      <c r="K16" s="8" t="n">
        <v>221.6</v>
      </c>
      <c r="L16" s="8" t="n">
        <v>234.8</v>
      </c>
      <c r="M16" s="8" t="n">
        <v>228.9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8</v>
      </c>
      <c r="D17" s="10" t="n">
        <v>17</v>
      </c>
      <c r="E17" s="10" t="n">
        <v>6</v>
      </c>
      <c r="F17" s="10" t="n">
        <v>3</v>
      </c>
      <c r="G17" s="10" t="n">
        <v>8</v>
      </c>
      <c r="H17" s="10" t="n">
        <v>12</v>
      </c>
      <c r="I17" s="10" t="n">
        <v>22</v>
      </c>
      <c r="J17" s="10" t="n">
        <v>10</v>
      </c>
      <c r="K17" s="10" t="n">
        <v>8</v>
      </c>
      <c r="L17" s="10" t="n">
        <v>9</v>
      </c>
      <c r="M17" s="10" t="n">
        <v>14</v>
      </c>
      <c r="N17" s="11">
        <f>SUM(B17:M17)</f>
        <v/>
      </c>
    </row>
    <row r="18">
      <c r="A18" s="7" t="inlineStr">
        <is>
          <t>Broj oblačnih dana</t>
        </is>
      </c>
      <c r="B18" s="10" t="n">
        <v>18</v>
      </c>
      <c r="C18" s="10" t="n">
        <v>7</v>
      </c>
      <c r="D18" s="10" t="n">
        <v>1</v>
      </c>
      <c r="E18" s="10" t="n">
        <v>8</v>
      </c>
      <c r="F18" s="10" t="n">
        <v>9</v>
      </c>
      <c r="G18" s="10" t="n">
        <v>5</v>
      </c>
      <c r="H18" s="10" t="n">
        <v>1</v>
      </c>
      <c r="I18" s="10" t="n">
        <v>0</v>
      </c>
      <c r="J18" s="10" t="n">
        <v>3</v>
      </c>
      <c r="K18" s="10" t="n">
        <v>14</v>
      </c>
      <c r="L18" s="10" t="n">
        <v>8</v>
      </c>
      <c r="M18" s="10" t="n">
        <v>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250.3</v>
      </c>
      <c r="C20" s="8" t="n">
        <v>103.3</v>
      </c>
      <c r="D20" s="8" t="n">
        <v>7.7</v>
      </c>
      <c r="E20" s="8" t="n">
        <v>221.7</v>
      </c>
      <c r="F20" s="8" t="n">
        <v>127.2</v>
      </c>
      <c r="G20" s="8" t="n">
        <v>106.8</v>
      </c>
      <c r="H20" s="8" t="n">
        <v>35.7</v>
      </c>
      <c r="I20" s="8" t="n">
        <v>38.4</v>
      </c>
      <c r="J20" s="8" t="n">
        <v>39.6</v>
      </c>
      <c r="K20" s="8" t="n">
        <v>252.8</v>
      </c>
      <c r="L20" s="8" t="n">
        <v>86</v>
      </c>
      <c r="M20" s="8" t="n">
        <v>19.9</v>
      </c>
      <c r="N20" s="9">
        <f>SUM(B20:M20)</f>
        <v/>
      </c>
    </row>
    <row r="21">
      <c r="A21" s="7" t="inlineStr">
        <is>
          <t>Max. dnevna suma</t>
        </is>
      </c>
      <c r="B21" s="8" t="n">
        <v>46.8</v>
      </c>
      <c r="C21" s="8" t="n">
        <v>35.1</v>
      </c>
      <c r="D21" s="8" t="n">
        <v>5.5</v>
      </c>
      <c r="E21" s="8" t="n">
        <v>65.09999999999999</v>
      </c>
      <c r="F21" s="8" t="n">
        <v>34.9</v>
      </c>
      <c r="G21" s="8" t="n">
        <v>21.6</v>
      </c>
      <c r="H21" s="8" t="n">
        <v>7.2</v>
      </c>
      <c r="I21" s="8" t="n">
        <v>22.5</v>
      </c>
      <c r="J21" s="8" t="n">
        <v>12.9</v>
      </c>
      <c r="K21" s="8" t="n">
        <v>47.4</v>
      </c>
      <c r="L21" s="8" t="n">
        <v>26.6</v>
      </c>
      <c r="M21" s="8" t="n">
        <v>18.4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26</v>
      </c>
      <c r="C22" s="10" t="n">
        <v>14</v>
      </c>
      <c r="D22" s="10" t="n">
        <v>4</v>
      </c>
      <c r="E22" s="10" t="n">
        <v>22</v>
      </c>
      <c r="F22" s="10" t="n">
        <v>21</v>
      </c>
      <c r="G22" s="10" t="n">
        <v>20</v>
      </c>
      <c r="H22" s="10" t="n">
        <v>21</v>
      </c>
      <c r="I22" s="10" t="n">
        <v>7</v>
      </c>
      <c r="J22" s="10" t="n">
        <v>10</v>
      </c>
      <c r="K22" s="10" t="n">
        <v>17</v>
      </c>
      <c r="L22" s="10" t="n">
        <v>12</v>
      </c>
      <c r="M22" s="10" t="n">
        <v>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4</v>
      </c>
      <c r="D23" s="10" t="n">
        <v>0</v>
      </c>
      <c r="E23" s="10" t="n">
        <v>5</v>
      </c>
      <c r="F23" s="10" t="n">
        <v>5</v>
      </c>
      <c r="G23" s="10" t="n">
        <v>3</v>
      </c>
      <c r="H23" s="10" t="n">
        <v>0</v>
      </c>
      <c r="I23" s="10" t="n">
        <v>1</v>
      </c>
      <c r="J23" s="10" t="n">
        <v>2</v>
      </c>
      <c r="K23" s="10" t="n">
        <v>7</v>
      </c>
      <c r="L23" s="10" t="n">
        <v>3</v>
      </c>
      <c r="M23" s="10" t="n">
        <v>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7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7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1949.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4.9</v>
      </c>
      <c r="C6" s="8" t="n">
        <v>4</v>
      </c>
      <c r="D6" s="8" t="n">
        <v>4.9</v>
      </c>
      <c r="E6" s="8" t="n">
        <v>13.1</v>
      </c>
      <c r="F6" s="8" t="n">
        <v>17.3</v>
      </c>
      <c r="G6" s="8" t="n">
        <v>19.5</v>
      </c>
      <c r="H6" s="8" t="n">
        <v>23.1</v>
      </c>
      <c r="I6" s="8" t="n">
        <v>22.7</v>
      </c>
      <c r="J6" s="8" t="n">
        <v>20.1</v>
      </c>
      <c r="K6" s="8" t="n">
        <v>15.1</v>
      </c>
      <c r="L6" s="8" t="n">
        <v>11.2</v>
      </c>
      <c r="M6" s="8" t="n">
        <v>6</v>
      </c>
      <c r="N6" s="9">
        <f>AVERAGE(B6:M6)</f>
        <v/>
      </c>
    </row>
    <row r="7">
      <c r="A7" s="7" t="inlineStr">
        <is>
          <t>Srednja maksimalna</t>
        </is>
      </c>
      <c r="B7" s="8" t="n">
        <v>9.699999999999999</v>
      </c>
      <c r="C7" s="8" t="n">
        <v>10.7</v>
      </c>
      <c r="D7" s="8" t="n">
        <v>10.1</v>
      </c>
      <c r="E7" s="8" t="n">
        <v>19.2</v>
      </c>
      <c r="F7" s="8" t="n">
        <v>22.1</v>
      </c>
      <c r="G7" s="8" t="n">
        <v>24.5</v>
      </c>
      <c r="H7" s="8" t="n">
        <v>28.7</v>
      </c>
      <c r="I7" s="8" t="n">
        <v>28.5</v>
      </c>
      <c r="J7" s="8" t="n">
        <v>26.2</v>
      </c>
      <c r="K7" s="8" t="n">
        <v>20.7</v>
      </c>
      <c r="L7" s="8" t="n">
        <v>14.3</v>
      </c>
      <c r="M7" s="8" t="n">
        <v>11.2</v>
      </c>
      <c r="N7" s="9">
        <f>AVERAGE(B7:M7)</f>
        <v/>
      </c>
    </row>
    <row r="8">
      <c r="A8" s="7" t="inlineStr">
        <is>
          <t>Srednja minimalna</t>
        </is>
      </c>
      <c r="B8" s="8" t="n">
        <v>1.6</v>
      </c>
      <c r="C8" s="8" t="n">
        <v>-1.1</v>
      </c>
      <c r="D8" s="8" t="n">
        <v>-0.2</v>
      </c>
      <c r="E8" s="8" t="n">
        <v>6.7</v>
      </c>
      <c r="F8" s="8" t="n">
        <v>11.9</v>
      </c>
      <c r="G8" s="8" t="n">
        <v>13.7</v>
      </c>
      <c r="H8" s="8" t="n">
        <v>16.5</v>
      </c>
      <c r="I8" s="8" t="n">
        <v>16.5</v>
      </c>
      <c r="J8" s="8" t="n">
        <v>14.7</v>
      </c>
      <c r="K8" s="8" t="n">
        <v>10.6</v>
      </c>
      <c r="L8" s="8" t="n">
        <v>8.4</v>
      </c>
      <c r="M8" s="8" t="n">
        <v>2</v>
      </c>
      <c r="N8" s="9">
        <f>AVERAGE(B8:M8)</f>
        <v/>
      </c>
    </row>
    <row r="9">
      <c r="A9" s="7" t="inlineStr">
        <is>
          <t>Apsolutni maksimum</t>
        </is>
      </c>
      <c r="B9" s="8" t="n">
        <v>13.7</v>
      </c>
      <c r="C9" s="8" t="n">
        <v>17.4</v>
      </c>
      <c r="D9" s="8" t="n">
        <v>18.1</v>
      </c>
      <c r="E9" s="8" t="n">
        <v>24.2</v>
      </c>
      <c r="F9" s="8" t="n">
        <v>26.9</v>
      </c>
      <c r="G9" s="8" t="n">
        <v>28.4</v>
      </c>
      <c r="H9" s="8" t="n">
        <v>32.8</v>
      </c>
      <c r="I9" s="8" t="n">
        <v>34.5</v>
      </c>
      <c r="J9" s="8" t="n">
        <v>32.7</v>
      </c>
      <c r="K9" s="8" t="n">
        <v>24.5</v>
      </c>
      <c r="L9" s="8" t="n">
        <v>17.2</v>
      </c>
      <c r="M9" s="8" t="n">
        <v>14.3</v>
      </c>
      <c r="N9" s="9">
        <f>MAX(B9:M9)</f>
        <v/>
      </c>
    </row>
    <row r="10">
      <c r="A10" s="7" t="inlineStr">
        <is>
          <t>Apsolutni minimum</t>
        </is>
      </c>
      <c r="B10" s="8" t="n">
        <v>-4.8</v>
      </c>
      <c r="C10" s="8" t="n">
        <v>-6.5</v>
      </c>
      <c r="D10" s="8" t="n">
        <v>-8</v>
      </c>
      <c r="E10" s="8" t="n">
        <v>-0.2</v>
      </c>
      <c r="F10" s="8" t="n">
        <v>7.7</v>
      </c>
      <c r="G10" s="8" t="n">
        <v>10.8</v>
      </c>
      <c r="H10" s="8" t="n">
        <v>12.6</v>
      </c>
      <c r="I10" s="8" t="n">
        <v>11</v>
      </c>
      <c r="J10" s="8" t="n">
        <v>9.6</v>
      </c>
      <c r="K10" s="8" t="n">
        <v>6.6</v>
      </c>
      <c r="L10" s="8" t="n">
        <v>0.9</v>
      </c>
      <c r="M10" s="8" t="n">
        <v>-2.8</v>
      </c>
      <c r="N10" s="9">
        <f>MIN(B10:M10)</f>
        <v/>
      </c>
    </row>
    <row r="11">
      <c r="A11" s="7" t="inlineStr">
        <is>
          <t>Sr. br. mraznih dana</t>
        </is>
      </c>
      <c r="B11" s="10" t="n">
        <v>15</v>
      </c>
      <c r="C11" s="10" t="n">
        <v>17</v>
      </c>
      <c r="D11" s="10" t="n">
        <v>14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14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13</v>
      </c>
      <c r="I12" s="10" t="n">
        <v>14</v>
      </c>
      <c r="J12" s="10" t="n">
        <v>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73.09999999999999</v>
      </c>
      <c r="C14" s="8" t="n">
        <v>65.5</v>
      </c>
      <c r="D14" s="8" t="n">
        <v>68.7</v>
      </c>
      <c r="E14" s="8" t="n">
        <v>70.90000000000001</v>
      </c>
      <c r="F14" s="8" t="n">
        <v>75.09999999999999</v>
      </c>
      <c r="G14" s="8" t="n">
        <v>69.3</v>
      </c>
      <c r="H14" s="8" t="n">
        <v>57.8</v>
      </c>
      <c r="I14" s="8" t="n">
        <v>56.8</v>
      </c>
      <c r="J14" s="8" t="n">
        <v>66.8</v>
      </c>
      <c r="K14" s="8" t="n">
        <v>75.7</v>
      </c>
      <c r="L14" s="8" t="n">
        <v>84.7</v>
      </c>
      <c r="M14" s="8" t="n">
        <v>80.7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205.1</v>
      </c>
      <c r="C16" s="8" t="n">
        <v>261.5</v>
      </c>
      <c r="D16" s="8" t="n">
        <v>262.8</v>
      </c>
      <c r="E16" s="8" t="n">
        <v>369.6</v>
      </c>
      <c r="F16" s="8" t="n">
        <v>361.4</v>
      </c>
      <c r="G16" s="8" t="n">
        <v>406.3</v>
      </c>
      <c r="H16" s="8" t="n">
        <v>434.1</v>
      </c>
      <c r="I16" s="8" t="n">
        <v>399</v>
      </c>
      <c r="J16" s="8" t="n">
        <v>337.6</v>
      </c>
      <c r="K16" s="8" t="n">
        <v>286.1</v>
      </c>
      <c r="L16" s="8" t="n">
        <v>176.3</v>
      </c>
      <c r="M16" s="8" t="n">
        <v>200.8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13</v>
      </c>
      <c r="D17" s="10" t="n">
        <v>6</v>
      </c>
      <c r="E17" s="10" t="n">
        <v>10</v>
      </c>
      <c r="F17" s="10" t="n">
        <v>5</v>
      </c>
      <c r="G17" s="10" t="n">
        <v>11</v>
      </c>
      <c r="H17" s="10" t="n">
        <v>23</v>
      </c>
      <c r="I17" s="10" t="n">
        <v>22</v>
      </c>
      <c r="J17" s="10" t="n">
        <v>15</v>
      </c>
      <c r="K17" s="10" t="n">
        <v>12</v>
      </c>
      <c r="L17" s="10" t="n">
        <v>0</v>
      </c>
      <c r="M17" s="10" t="n">
        <v>8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4</v>
      </c>
      <c r="D18" s="10" t="n">
        <v>9</v>
      </c>
      <c r="E18" s="10" t="n">
        <v>2</v>
      </c>
      <c r="F18" s="10" t="n">
        <v>7</v>
      </c>
      <c r="G18" s="10" t="n">
        <v>2</v>
      </c>
      <c r="H18" s="10" t="n">
        <v>0</v>
      </c>
      <c r="I18" s="10" t="n">
        <v>0</v>
      </c>
      <c r="J18" s="10" t="n">
        <v>4</v>
      </c>
      <c r="K18" s="10" t="n">
        <v>6</v>
      </c>
      <c r="L18" s="10" t="n">
        <v>18</v>
      </c>
      <c r="M18" s="10" t="n">
        <v>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127.2</v>
      </c>
      <c r="C20" s="8" t="n">
        <v>27.9</v>
      </c>
      <c r="D20" s="8" t="n">
        <v>126.5</v>
      </c>
      <c r="E20" s="8" t="n">
        <v>25.7</v>
      </c>
      <c r="F20" s="8" t="n">
        <v>138.1</v>
      </c>
      <c r="G20" s="8" t="n">
        <v>98.2</v>
      </c>
      <c r="H20" s="8" t="n">
        <v>9.199999999999999</v>
      </c>
      <c r="I20" s="8" t="n">
        <v>39</v>
      </c>
      <c r="J20" s="8" t="n">
        <v>46.4</v>
      </c>
      <c r="K20" s="8" t="n">
        <v>71.90000000000001</v>
      </c>
      <c r="L20" s="8" t="n">
        <v>385.1</v>
      </c>
      <c r="M20" s="8" t="n">
        <v>138</v>
      </c>
      <c r="N20" s="9">
        <f>SUM(B20:M20)</f>
        <v/>
      </c>
    </row>
    <row r="21">
      <c r="A21" s="7" t="inlineStr">
        <is>
          <t>Max. dnevna suma</t>
        </is>
      </c>
      <c r="B21" s="8" t="n">
        <v>48.1</v>
      </c>
      <c r="C21" s="8" t="n">
        <v>19.8</v>
      </c>
      <c r="D21" s="8" t="n">
        <v>31.8</v>
      </c>
      <c r="E21" s="8" t="n">
        <v>7.7</v>
      </c>
      <c r="F21" s="8" t="n">
        <v>22.5</v>
      </c>
      <c r="G21" s="8" t="n">
        <v>27.3</v>
      </c>
      <c r="H21" s="8" t="n">
        <v>3.3</v>
      </c>
      <c r="I21" s="8" t="n">
        <v>20.8</v>
      </c>
      <c r="J21" s="8" t="n">
        <v>16.8</v>
      </c>
      <c r="K21" s="8" t="n">
        <v>28.6</v>
      </c>
      <c r="L21" s="8" t="n">
        <v>40.4</v>
      </c>
      <c r="M21" s="8" t="n">
        <v>29.1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13</v>
      </c>
      <c r="C22" s="10" t="n">
        <v>5</v>
      </c>
      <c r="D22" s="10" t="n">
        <v>18</v>
      </c>
      <c r="E22" s="10" t="n">
        <v>7</v>
      </c>
      <c r="F22" s="10" t="n">
        <v>22</v>
      </c>
      <c r="G22" s="10" t="n">
        <v>16</v>
      </c>
      <c r="H22" s="10" t="n">
        <v>11</v>
      </c>
      <c r="I22" s="10" t="n">
        <v>13</v>
      </c>
      <c r="J22" s="10" t="n">
        <v>11</v>
      </c>
      <c r="K22" s="10" t="n">
        <v>10</v>
      </c>
      <c r="L22" s="10" t="n">
        <v>25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5</v>
      </c>
      <c r="C23" s="10" t="n">
        <v>1</v>
      </c>
      <c r="D23" s="10" t="n">
        <v>4</v>
      </c>
      <c r="E23" s="10" t="n">
        <v>0</v>
      </c>
      <c r="F23" s="10" t="n">
        <v>5</v>
      </c>
      <c r="G23" s="10" t="n">
        <v>4</v>
      </c>
      <c r="H23" s="10" t="n">
        <v>0</v>
      </c>
      <c r="I23" s="10" t="n">
        <v>1</v>
      </c>
      <c r="J23" s="10" t="n">
        <v>1</v>
      </c>
      <c r="K23" s="10" t="n">
        <v>1</v>
      </c>
      <c r="L23" s="10" t="n">
        <v>14</v>
      </c>
      <c r="M23" s="10" t="n">
        <v>6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1</v>
      </c>
      <c r="D25" s="10" t="n">
        <v>6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1</v>
      </c>
      <c r="D26" s="10" t="n">
        <v>6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1950.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0.5</v>
      </c>
      <c r="C6" s="8" t="n">
        <v>5.2</v>
      </c>
      <c r="D6" s="8" t="n">
        <v>7.9</v>
      </c>
      <c r="E6" s="8" t="n">
        <v>12</v>
      </c>
      <c r="F6" s="8" t="n">
        <v>17.4</v>
      </c>
      <c r="G6" s="8" t="n">
        <v>22.8</v>
      </c>
      <c r="H6" s="8" t="n">
        <v>27.3</v>
      </c>
      <c r="I6" s="8" t="n">
        <v>25.3</v>
      </c>
      <c r="J6" s="8" t="n">
        <v>20.4</v>
      </c>
      <c r="K6" s="8" t="n">
        <v>13.8</v>
      </c>
      <c r="L6" s="8" t="n">
        <v>8.9</v>
      </c>
      <c r="M6" s="8" t="n">
        <v>7.3</v>
      </c>
      <c r="N6" s="9">
        <f>AVERAGE(B6:M6)</f>
        <v/>
      </c>
    </row>
    <row r="7">
      <c r="A7" s="7" t="inlineStr">
        <is>
          <t>Srednja maksimalna</t>
        </is>
      </c>
      <c r="B7" s="8" t="n">
        <v>6.1</v>
      </c>
      <c r="C7" s="8" t="n">
        <v>11</v>
      </c>
      <c r="D7" s="8" t="n">
        <v>14.3</v>
      </c>
      <c r="E7" s="8" t="n">
        <v>17</v>
      </c>
      <c r="F7" s="8" t="n">
        <v>23.9</v>
      </c>
      <c r="G7" s="8" t="n">
        <v>29.1</v>
      </c>
      <c r="H7" s="8" t="n">
        <v>33.9</v>
      </c>
      <c r="I7" s="8" t="n">
        <v>32.1</v>
      </c>
      <c r="J7" s="8" t="n">
        <v>26.8</v>
      </c>
      <c r="K7" s="8" t="n">
        <v>20</v>
      </c>
      <c r="L7" s="8" t="n">
        <v>12.9</v>
      </c>
      <c r="M7" s="8" t="n">
        <v>10.5</v>
      </c>
      <c r="N7" s="9">
        <f>AVERAGE(B7:M7)</f>
        <v/>
      </c>
    </row>
    <row r="8">
      <c r="A8" s="7" t="inlineStr">
        <is>
          <t>Srednja minimalna</t>
        </is>
      </c>
      <c r="B8" s="8" t="n">
        <v>-4</v>
      </c>
      <c r="C8" s="8" t="n">
        <v>-0.2</v>
      </c>
      <c r="D8" s="8" t="n">
        <v>1.2</v>
      </c>
      <c r="E8" s="8" t="n">
        <v>6.5</v>
      </c>
      <c r="F8" s="8" t="n">
        <v>9.5</v>
      </c>
      <c r="G8" s="8" t="n">
        <v>14.4</v>
      </c>
      <c r="H8" s="8" t="n">
        <v>18.5</v>
      </c>
      <c r="I8" s="8" t="n">
        <v>16.6</v>
      </c>
      <c r="J8" s="8" t="n">
        <v>13.4</v>
      </c>
      <c r="K8" s="8" t="n">
        <v>7.5</v>
      </c>
      <c r="L8" s="8" t="n">
        <v>4.7</v>
      </c>
      <c r="M8" s="8" t="n">
        <v>4.3</v>
      </c>
      <c r="N8" s="9">
        <f>AVERAGE(B8:M8)</f>
        <v/>
      </c>
    </row>
    <row r="9">
      <c r="A9" s="7" t="inlineStr">
        <is>
          <t>Apsolutni maksimum</t>
        </is>
      </c>
      <c r="B9" s="8" t="n">
        <v>11.6</v>
      </c>
      <c r="C9" s="8" t="n">
        <v>17.7</v>
      </c>
      <c r="D9" s="8" t="n">
        <v>18.5</v>
      </c>
      <c r="E9" s="8" t="n">
        <v>25.1</v>
      </c>
      <c r="F9" s="8" t="n">
        <v>29.7</v>
      </c>
      <c r="G9" s="8" t="n">
        <v>33.5</v>
      </c>
      <c r="H9" s="8" t="n">
        <v>38.2</v>
      </c>
      <c r="I9" s="8" t="n">
        <v>37.5</v>
      </c>
      <c r="J9" s="8" t="n">
        <v>33.1</v>
      </c>
      <c r="K9" s="8" t="n">
        <v>24.6</v>
      </c>
      <c r="L9" s="8" t="n">
        <v>15.4</v>
      </c>
      <c r="M9" s="8" t="n">
        <v>15.8</v>
      </c>
      <c r="N9" s="9">
        <f>MAX(B9:M9)</f>
        <v/>
      </c>
    </row>
    <row r="10">
      <c r="A10" s="7" t="inlineStr">
        <is>
          <t>Apsolutni minimum</t>
        </is>
      </c>
      <c r="B10" s="8" t="n">
        <v>-12.8</v>
      </c>
      <c r="C10" s="8" t="n">
        <v>-6.8</v>
      </c>
      <c r="D10" s="8" t="n">
        <v>-1.9</v>
      </c>
      <c r="E10" s="8" t="n">
        <v>0.5</v>
      </c>
      <c r="F10" s="8" t="n">
        <v>5.5</v>
      </c>
      <c r="G10" s="8" t="n">
        <v>10.6</v>
      </c>
      <c r="H10" s="8" t="n">
        <v>14.8</v>
      </c>
      <c r="I10" s="8" t="n">
        <v>12.8</v>
      </c>
      <c r="J10" s="8" t="n">
        <v>8.1</v>
      </c>
      <c r="K10" s="8" t="n">
        <v>2.9</v>
      </c>
      <c r="L10" s="8" t="n">
        <v>-2.6</v>
      </c>
      <c r="M10" s="8" t="n">
        <v>-6.7</v>
      </c>
      <c r="N10" s="9">
        <f>MIN(B10:M10)</f>
        <v/>
      </c>
    </row>
    <row r="11">
      <c r="A11" s="7" t="inlineStr">
        <is>
          <t>Sr. br. mraznih dana</t>
        </is>
      </c>
      <c r="B11" s="10" t="n">
        <v>27</v>
      </c>
      <c r="C11" s="10" t="n">
        <v>14</v>
      </c>
      <c r="D11" s="10" t="n">
        <v>11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10</v>
      </c>
      <c r="H12" s="10" t="n">
        <v>29</v>
      </c>
      <c r="I12" s="10" t="n">
        <v>24</v>
      </c>
      <c r="J12" s="10" t="n">
        <v>7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74.5</v>
      </c>
      <c r="C14" s="8" t="n">
        <v>78.59999999999999</v>
      </c>
      <c r="D14" s="8" t="n">
        <v>72.5</v>
      </c>
      <c r="E14" s="8" t="n">
        <v>75.7</v>
      </c>
      <c r="F14" s="8" t="n">
        <v>65.59999999999999</v>
      </c>
      <c r="G14" s="8" t="n">
        <v>53.9</v>
      </c>
      <c r="H14" s="8" t="n">
        <v>44.1</v>
      </c>
      <c r="I14" s="8" t="n">
        <v>46.5</v>
      </c>
      <c r="J14" s="8" t="n">
        <v>56.6</v>
      </c>
      <c r="K14" s="8" t="n">
        <v>66.59999999999999</v>
      </c>
      <c r="L14" s="8" t="n">
        <v>81.8</v>
      </c>
      <c r="M14" s="8" t="n">
        <v>87.09999999999999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204.2</v>
      </c>
      <c r="C16" s="8" t="n">
        <v>214.6</v>
      </c>
      <c r="D16" s="8" t="n">
        <v>316.8</v>
      </c>
      <c r="E16" s="8" t="n">
        <v>330</v>
      </c>
      <c r="F16" s="8" t="n">
        <v>408.6</v>
      </c>
      <c r="G16" s="8" t="n">
        <v>418.1</v>
      </c>
      <c r="H16" s="8" t="n">
        <v>434.7</v>
      </c>
      <c r="I16" s="8" t="n">
        <v>413.8</v>
      </c>
      <c r="J16" s="8" t="n">
        <v>339.2</v>
      </c>
      <c r="K16" s="8" t="n">
        <v>278.3</v>
      </c>
      <c r="L16" s="8" t="n">
        <v>176</v>
      </c>
      <c r="M16" s="8" t="n">
        <v>144.5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7</v>
      </c>
      <c r="D17" s="10" t="n">
        <v>7</v>
      </c>
      <c r="E17" s="10" t="n">
        <v>3</v>
      </c>
      <c r="F17" s="10" t="n">
        <v>13</v>
      </c>
      <c r="G17" s="10" t="n">
        <v>14</v>
      </c>
      <c r="H17" s="10" t="n">
        <v>25</v>
      </c>
      <c r="I17" s="10" t="n">
        <v>26</v>
      </c>
      <c r="J17" s="10" t="n">
        <v>12</v>
      </c>
      <c r="K17" s="10" t="n">
        <v>13</v>
      </c>
      <c r="L17" s="10" t="n">
        <v>4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7</v>
      </c>
      <c r="D18" s="10" t="n">
        <v>5</v>
      </c>
      <c r="E18" s="10" t="n">
        <v>6</v>
      </c>
      <c r="F18" s="10" t="n">
        <v>2</v>
      </c>
      <c r="G18" s="10" t="n">
        <v>0</v>
      </c>
      <c r="H18" s="10" t="n">
        <v>0</v>
      </c>
      <c r="I18" s="10" t="n">
        <v>0</v>
      </c>
      <c r="J18" s="10" t="n">
        <v>2</v>
      </c>
      <c r="K18" s="10" t="n">
        <v>4</v>
      </c>
      <c r="L18" s="10" t="n">
        <v>13</v>
      </c>
      <c r="M18" s="10" t="n">
        <v>23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105.1</v>
      </c>
      <c r="C20" s="8" t="n">
        <v>143.2</v>
      </c>
      <c r="D20" s="8" t="n">
        <v>75.7</v>
      </c>
      <c r="E20" s="8" t="n">
        <v>162.4</v>
      </c>
      <c r="F20" s="8" t="n">
        <v>31.4</v>
      </c>
      <c r="G20" s="8" t="n">
        <v>7.1</v>
      </c>
      <c r="H20" s="8" t="n">
        <v>2.5</v>
      </c>
      <c r="I20" s="8" t="n">
        <v>10.3</v>
      </c>
      <c r="J20" s="8" t="n">
        <v>39.6</v>
      </c>
      <c r="K20" s="8" t="n">
        <v>231.5</v>
      </c>
      <c r="L20" s="8" t="n">
        <v>274.3</v>
      </c>
      <c r="M20" s="8" t="n">
        <v>376.1</v>
      </c>
      <c r="N20" s="9">
        <f>SUM(B20:M20)</f>
        <v/>
      </c>
    </row>
    <row r="21">
      <c r="A21" s="7" t="inlineStr">
        <is>
          <t>Max. dnevna suma</t>
        </is>
      </c>
      <c r="B21" s="8" t="n">
        <v>23.4</v>
      </c>
      <c r="C21" s="8" t="n">
        <v>23.4</v>
      </c>
      <c r="D21" s="8" t="n">
        <v>27.6</v>
      </c>
      <c r="E21" s="8" t="n">
        <v>28.3</v>
      </c>
      <c r="F21" s="8" t="n">
        <v>11.2</v>
      </c>
      <c r="G21" s="8" t="n">
        <v>1.7</v>
      </c>
      <c r="H21" s="8" t="n">
        <v>1.9</v>
      </c>
      <c r="I21" s="8" t="n">
        <v>6.8</v>
      </c>
      <c r="J21" s="8" t="n">
        <v>19.8</v>
      </c>
      <c r="K21" s="8" t="n">
        <v>73</v>
      </c>
      <c r="L21" s="8" t="n">
        <v>43</v>
      </c>
      <c r="M21" s="8" t="n">
        <v>50.6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12</v>
      </c>
      <c r="C22" s="10" t="n">
        <v>15</v>
      </c>
      <c r="D22" s="10" t="n">
        <v>12</v>
      </c>
      <c r="E22" s="10" t="n">
        <v>20</v>
      </c>
      <c r="F22" s="10" t="n">
        <v>14</v>
      </c>
      <c r="G22" s="10" t="n">
        <v>11</v>
      </c>
      <c r="H22" s="10" t="n">
        <v>5</v>
      </c>
      <c r="I22" s="10" t="n">
        <v>6</v>
      </c>
      <c r="J22" s="10" t="n">
        <v>14</v>
      </c>
      <c r="K22" s="10" t="n">
        <v>10</v>
      </c>
      <c r="L22" s="10" t="n">
        <v>19</v>
      </c>
      <c r="M22" s="10" t="n">
        <v>26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5</v>
      </c>
      <c r="D23" s="10" t="n">
        <v>3</v>
      </c>
      <c r="E23" s="10" t="n">
        <v>5</v>
      </c>
      <c r="F23" s="10" t="n">
        <v>1</v>
      </c>
      <c r="G23" s="10" t="n">
        <v>0</v>
      </c>
      <c r="H23" s="10" t="n">
        <v>0</v>
      </c>
      <c r="I23" s="10" t="n">
        <v>0</v>
      </c>
      <c r="J23" s="10" t="n">
        <v>1</v>
      </c>
      <c r="K23" s="10" t="n">
        <v>7</v>
      </c>
      <c r="L23" s="10" t="n">
        <v>9</v>
      </c>
      <c r="M23" s="10" t="n">
        <v>12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1951.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4.9</v>
      </c>
      <c r="C6" s="8" t="n">
        <v>7</v>
      </c>
      <c r="D6" s="8" t="n">
        <v>8</v>
      </c>
      <c r="E6" s="8" t="n">
        <v>11.5</v>
      </c>
      <c r="F6" s="8" t="n">
        <v>16.6</v>
      </c>
      <c r="G6" s="8" t="n">
        <v>20.9</v>
      </c>
      <c r="H6" s="8" t="n">
        <v>23.4</v>
      </c>
      <c r="I6" s="8" t="n">
        <v>24</v>
      </c>
      <c r="J6" s="8" t="n">
        <v>21.1</v>
      </c>
      <c r="K6" s="8" t="n">
        <v>12.3</v>
      </c>
      <c r="L6" s="8" t="n">
        <v>9.800000000000001</v>
      </c>
      <c r="M6" s="8" t="n">
        <v>4.6</v>
      </c>
      <c r="N6" s="9">
        <f>AVERAGE(B6:M6)</f>
        <v/>
      </c>
    </row>
    <row r="7">
      <c r="A7" s="7" t="inlineStr">
        <is>
          <t>Srednja maksimalna</t>
        </is>
      </c>
      <c r="B7" s="8" t="n">
        <v>9.6</v>
      </c>
      <c r="C7" s="8" t="n">
        <v>11.3</v>
      </c>
      <c r="D7" s="8" t="n">
        <v>12.5</v>
      </c>
      <c r="E7" s="8" t="n">
        <v>17.1</v>
      </c>
      <c r="F7" s="8" t="n">
        <v>22.1</v>
      </c>
      <c r="G7" s="8" t="n">
        <v>26.4</v>
      </c>
      <c r="H7" s="8" t="n">
        <v>29.2</v>
      </c>
      <c r="I7" s="8" t="n">
        <v>30.5</v>
      </c>
      <c r="J7" s="8" t="n">
        <v>26.9</v>
      </c>
      <c r="K7" s="8" t="n">
        <v>16.9</v>
      </c>
      <c r="L7" s="8" t="n">
        <v>14.1</v>
      </c>
      <c r="M7" s="8" t="n">
        <v>10</v>
      </c>
      <c r="N7" s="9">
        <f>AVERAGE(B7:M7)</f>
        <v/>
      </c>
    </row>
    <row r="8">
      <c r="A8" s="7" t="inlineStr">
        <is>
          <t>Srednja minimalna</t>
        </is>
      </c>
      <c r="B8" s="8" t="n">
        <v>1</v>
      </c>
      <c r="C8" s="8" t="n">
        <v>2.9</v>
      </c>
      <c r="D8" s="8" t="n">
        <v>3.5</v>
      </c>
      <c r="E8" s="8" t="n">
        <v>5.4</v>
      </c>
      <c r="F8" s="8" t="n">
        <v>9.800000000000001</v>
      </c>
      <c r="G8" s="8" t="n">
        <v>13.8</v>
      </c>
      <c r="H8" s="8" t="n">
        <v>15.9</v>
      </c>
      <c r="I8" s="8" t="n">
        <v>16</v>
      </c>
      <c r="J8" s="8" t="n">
        <v>14.9</v>
      </c>
      <c r="K8" s="8" t="n">
        <v>8.1</v>
      </c>
      <c r="L8" s="8" t="n">
        <v>5.6</v>
      </c>
      <c r="M8" s="8" t="n">
        <v>0.6</v>
      </c>
      <c r="N8" s="9">
        <f>AVERAGE(B8:M8)</f>
        <v/>
      </c>
    </row>
    <row r="9">
      <c r="A9" s="7" t="inlineStr">
        <is>
          <t>Apsolutni maksimum</t>
        </is>
      </c>
      <c r="B9" s="8" t="n">
        <v>14.1</v>
      </c>
      <c r="C9" s="8" t="n">
        <v>15.1</v>
      </c>
      <c r="D9" s="8" t="n">
        <v>17.6</v>
      </c>
      <c r="E9" s="8" t="n">
        <v>22.7</v>
      </c>
      <c r="F9" s="8" t="n">
        <v>29</v>
      </c>
      <c r="G9" s="8" t="n">
        <v>31.6</v>
      </c>
      <c r="H9" s="8" t="n">
        <v>34.1</v>
      </c>
      <c r="I9" s="8" t="n">
        <v>35.8</v>
      </c>
      <c r="J9" s="8" t="n">
        <v>32.4</v>
      </c>
      <c r="K9" s="8" t="n">
        <v>21.4</v>
      </c>
      <c r="L9" s="8" t="n">
        <v>18.2</v>
      </c>
      <c r="M9" s="8" t="n">
        <v>13.5</v>
      </c>
      <c r="N9" s="9">
        <f>MAX(B9:M9)</f>
        <v/>
      </c>
    </row>
    <row r="10">
      <c r="A10" s="7" t="inlineStr">
        <is>
          <t>Apsolutni minimum</t>
        </is>
      </c>
      <c r="B10" s="8" t="n">
        <v>-4.2</v>
      </c>
      <c r="C10" s="8" t="n">
        <v>-1</v>
      </c>
      <c r="D10" s="8" t="n">
        <v>-4.2</v>
      </c>
      <c r="E10" s="8" t="n">
        <v>1.2</v>
      </c>
      <c r="F10" s="8" t="n">
        <v>5.2</v>
      </c>
      <c r="G10" s="8" t="n">
        <v>10.7</v>
      </c>
      <c r="H10" s="8" t="n">
        <v>13.2</v>
      </c>
      <c r="I10" s="8" t="n">
        <v>12.7</v>
      </c>
      <c r="J10" s="8" t="n">
        <v>7.5</v>
      </c>
      <c r="K10" s="8" t="n">
        <v>2.2</v>
      </c>
      <c r="L10" s="8" t="n">
        <v>-2.7</v>
      </c>
      <c r="M10" s="8" t="n">
        <v>-4.2</v>
      </c>
      <c r="N10" s="9">
        <f>MIN(B10:M10)</f>
        <v/>
      </c>
    </row>
    <row r="11">
      <c r="A11" s="7" t="inlineStr">
        <is>
          <t>Sr. br. mraznih dana</t>
        </is>
      </c>
      <c r="B11" s="10" t="n">
        <v>13</v>
      </c>
      <c r="C11" s="10" t="n">
        <v>5</v>
      </c>
      <c r="D11" s="10" t="n">
        <v>6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3</v>
      </c>
      <c r="H12" s="10" t="n">
        <v>11</v>
      </c>
      <c r="I12" s="10" t="n">
        <v>18</v>
      </c>
      <c r="J12" s="10" t="n">
        <v>12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80.59999999999999</v>
      </c>
      <c r="C14" s="8" t="n">
        <v>82.90000000000001</v>
      </c>
      <c r="D14" s="8" t="n">
        <v>75.40000000000001</v>
      </c>
      <c r="E14" s="8" t="n">
        <v>72.90000000000001</v>
      </c>
      <c r="F14" s="8" t="n">
        <v>72.5</v>
      </c>
      <c r="G14" s="8" t="n">
        <v>66.3</v>
      </c>
      <c r="H14" s="8" t="n">
        <v>57.8</v>
      </c>
      <c r="I14" s="8" t="n">
        <v>56.6</v>
      </c>
      <c r="J14" s="8" t="n">
        <v>63.4</v>
      </c>
      <c r="K14" s="8" t="n">
        <v>75.90000000000001</v>
      </c>
      <c r="L14" s="8" t="n">
        <v>81.8</v>
      </c>
      <c r="M14" s="8" t="n">
        <v>81.09999999999999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169.1</v>
      </c>
      <c r="C16" s="8" t="n">
        <v>206.5</v>
      </c>
      <c r="D16" s="8" t="n">
        <v>261.6</v>
      </c>
      <c r="E16" s="8" t="n">
        <v>309.8</v>
      </c>
      <c r="F16" s="8" t="n">
        <v>384.4</v>
      </c>
      <c r="G16" s="8" t="n">
        <v>408</v>
      </c>
      <c r="H16" s="8" t="n">
        <v>431.8</v>
      </c>
      <c r="I16" s="8" t="n">
        <v>397</v>
      </c>
      <c r="J16" s="8" t="n">
        <v>309.2</v>
      </c>
      <c r="K16" s="8" t="n">
        <v>232.6</v>
      </c>
      <c r="L16" s="8" t="n">
        <v>197.9</v>
      </c>
      <c r="M16" s="8" t="n">
        <v>199.4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2</v>
      </c>
      <c r="D17" s="10" t="n">
        <v>2</v>
      </c>
      <c r="E17" s="10" t="n">
        <v>7</v>
      </c>
      <c r="F17" s="10" t="n">
        <v>3</v>
      </c>
      <c r="G17" s="10" t="n">
        <v>16</v>
      </c>
      <c r="H17" s="10" t="n">
        <v>20</v>
      </c>
      <c r="I17" s="10" t="n">
        <v>22</v>
      </c>
      <c r="J17" s="10" t="n">
        <v>9</v>
      </c>
      <c r="K17" s="10" t="n">
        <v>3</v>
      </c>
      <c r="L17" s="10" t="n">
        <v>6</v>
      </c>
      <c r="M17" s="10" t="n">
        <v>8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12</v>
      </c>
      <c r="D18" s="10" t="n">
        <v>12</v>
      </c>
      <c r="E18" s="10" t="n">
        <v>4</v>
      </c>
      <c r="F18" s="10" t="n">
        <v>5</v>
      </c>
      <c r="G18" s="10" t="n">
        <v>2</v>
      </c>
      <c r="H18" s="10" t="n">
        <v>0</v>
      </c>
      <c r="I18" s="10" t="n">
        <v>2</v>
      </c>
      <c r="J18" s="10" t="n">
        <v>6</v>
      </c>
      <c r="K18" s="10" t="n">
        <v>13</v>
      </c>
      <c r="L18" s="10" t="n">
        <v>9</v>
      </c>
      <c r="M18" s="10" t="n">
        <v>10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97.3</v>
      </c>
      <c r="C20" s="8" t="n">
        <v>206.3</v>
      </c>
      <c r="D20" s="8" t="n">
        <v>172.8</v>
      </c>
      <c r="E20" s="8" t="n">
        <v>116.3</v>
      </c>
      <c r="F20" s="8" t="n">
        <v>94.2</v>
      </c>
      <c r="G20" s="8" t="n">
        <v>41.7</v>
      </c>
      <c r="H20" s="8" t="n">
        <v>27.1</v>
      </c>
      <c r="I20" s="8" t="n">
        <v>11.8</v>
      </c>
      <c r="J20" s="8" t="n">
        <v>113.8</v>
      </c>
      <c r="K20" s="8" t="n">
        <v>146.7</v>
      </c>
      <c r="L20" s="8" t="n">
        <v>272</v>
      </c>
      <c r="M20" s="8" t="n">
        <v>113.5</v>
      </c>
      <c r="N20" s="9">
        <f>SUM(B20:M20)</f>
        <v/>
      </c>
    </row>
    <row r="21">
      <c r="A21" s="7" t="inlineStr">
        <is>
          <t>Max. dnevna suma</t>
        </is>
      </c>
      <c r="B21" s="8" t="n">
        <v>17.4</v>
      </c>
      <c r="C21" s="8" t="n">
        <v>42.6</v>
      </c>
      <c r="D21" s="8" t="n">
        <v>31.7</v>
      </c>
      <c r="E21" s="8" t="n">
        <v>20.6</v>
      </c>
      <c r="F21" s="8" t="n">
        <v>34.9</v>
      </c>
      <c r="G21" s="8" t="n">
        <v>15.8</v>
      </c>
      <c r="H21" s="8" t="n">
        <v>6.7</v>
      </c>
      <c r="I21" s="8" t="n">
        <v>6.5</v>
      </c>
      <c r="J21" s="8" t="n">
        <v>31.7</v>
      </c>
      <c r="K21" s="8" t="n">
        <v>42.7</v>
      </c>
      <c r="L21" s="8" t="n">
        <v>44.6</v>
      </c>
      <c r="M21" s="8" t="n">
        <v>26.9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22</v>
      </c>
      <c r="D22" s="10" t="n">
        <v>27</v>
      </c>
      <c r="E22" s="10" t="n">
        <v>18</v>
      </c>
      <c r="F22" s="10" t="n">
        <v>21</v>
      </c>
      <c r="G22" s="10" t="n">
        <v>12</v>
      </c>
      <c r="H22" s="10" t="n">
        <v>14</v>
      </c>
      <c r="I22" s="10" t="n">
        <v>6</v>
      </c>
      <c r="J22" s="10" t="n">
        <v>17</v>
      </c>
      <c r="K22" s="10" t="n">
        <v>17</v>
      </c>
      <c r="L22" s="10" t="n">
        <v>19</v>
      </c>
      <c r="M22" s="10" t="n">
        <v>12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7</v>
      </c>
      <c r="D23" s="10" t="n">
        <v>6</v>
      </c>
      <c r="E23" s="10" t="n">
        <v>5</v>
      </c>
      <c r="F23" s="10" t="n">
        <v>3</v>
      </c>
      <c r="G23" s="10" t="n">
        <v>1</v>
      </c>
      <c r="H23" s="10" t="n">
        <v>0</v>
      </c>
      <c r="I23" s="10" t="n">
        <v>0</v>
      </c>
      <c r="J23" s="10" t="n">
        <v>5</v>
      </c>
      <c r="K23" s="10" t="n">
        <v>5</v>
      </c>
      <c r="L23" s="10" t="n">
        <v>9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1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1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1952.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3.2</v>
      </c>
      <c r="C6" s="8" t="n">
        <v>3.3</v>
      </c>
      <c r="D6" s="8" t="n">
        <v>6.1</v>
      </c>
      <c r="E6" s="8" t="n">
        <v>14.1</v>
      </c>
      <c r="F6" s="8" t="n">
        <v>15.7</v>
      </c>
      <c r="G6" s="8" t="n">
        <v>21.7</v>
      </c>
      <c r="H6" s="8" t="n">
        <v>25.8</v>
      </c>
      <c r="I6" s="8" t="n">
        <v>25.9</v>
      </c>
      <c r="J6" s="8" t="n">
        <v>19.5</v>
      </c>
      <c r="K6" s="8" t="n">
        <v>13.1</v>
      </c>
      <c r="L6" s="8" t="n">
        <v>8</v>
      </c>
      <c r="M6" s="8" t="n">
        <v>5.7</v>
      </c>
      <c r="N6" s="9">
        <f>AVERAGE(B6:M6)</f>
        <v/>
      </c>
    </row>
    <row r="7">
      <c r="A7" s="7" t="inlineStr">
        <is>
          <t>Srednja maksimalna</t>
        </is>
      </c>
      <c r="B7" s="8" t="n">
        <v>7.7</v>
      </c>
      <c r="C7" s="8" t="n">
        <v>8.300000000000001</v>
      </c>
      <c r="D7" s="8" t="n">
        <v>11.8</v>
      </c>
      <c r="E7" s="8" t="n">
        <v>20.4</v>
      </c>
      <c r="F7" s="8" t="n">
        <v>21.3</v>
      </c>
      <c r="G7" s="8" t="n">
        <v>27.7</v>
      </c>
      <c r="H7" s="8" t="n">
        <v>32.2</v>
      </c>
      <c r="I7" s="8" t="n">
        <v>32.7</v>
      </c>
      <c r="J7" s="8" t="n">
        <v>24.6</v>
      </c>
      <c r="K7" s="8" t="n">
        <v>17.3</v>
      </c>
      <c r="L7" s="8" t="n">
        <v>12</v>
      </c>
      <c r="M7" s="8" t="n">
        <v>8.9</v>
      </c>
      <c r="N7" s="9">
        <f>AVERAGE(B7:M7)</f>
        <v/>
      </c>
    </row>
    <row r="8">
      <c r="A8" s="7" t="inlineStr">
        <is>
          <t>Srednja minimalna</t>
        </is>
      </c>
      <c r="B8" s="8" t="n">
        <v>-1</v>
      </c>
      <c r="C8" s="8" t="n">
        <v>-1.5</v>
      </c>
      <c r="D8" s="8" t="n">
        <v>0</v>
      </c>
      <c r="E8" s="8" t="n">
        <v>6.7</v>
      </c>
      <c r="F8" s="8" t="n">
        <v>9</v>
      </c>
      <c r="G8" s="8" t="n">
        <v>13.8</v>
      </c>
      <c r="H8" s="8" t="n">
        <v>17.6</v>
      </c>
      <c r="I8" s="8" t="n">
        <v>17.5</v>
      </c>
      <c r="J8" s="8" t="n">
        <v>14</v>
      </c>
      <c r="K8" s="8" t="n">
        <v>8.5</v>
      </c>
      <c r="L8" s="8" t="n">
        <v>3.9</v>
      </c>
      <c r="M8" s="8" t="n">
        <v>2.8</v>
      </c>
      <c r="N8" s="9">
        <f>AVERAGE(B8:M8)</f>
        <v/>
      </c>
    </row>
    <row r="9">
      <c r="A9" s="7" t="inlineStr">
        <is>
          <t>Apsolutni maksimum</t>
        </is>
      </c>
      <c r="B9" s="8" t="n">
        <v>12.1</v>
      </c>
      <c r="C9" s="8" t="n">
        <v>14</v>
      </c>
      <c r="D9" s="8" t="n">
        <v>21.9</v>
      </c>
      <c r="E9" s="8" t="n">
        <v>25.2</v>
      </c>
      <c r="F9" s="8" t="n">
        <v>28.3</v>
      </c>
      <c r="G9" s="8" t="n">
        <v>32.6</v>
      </c>
      <c r="H9" s="8" t="n">
        <v>35.3</v>
      </c>
      <c r="I9" s="8" t="n">
        <v>36.8</v>
      </c>
      <c r="J9" s="8" t="n">
        <v>32.7</v>
      </c>
      <c r="K9" s="8" t="n">
        <v>21.9</v>
      </c>
      <c r="L9" s="8" t="n">
        <v>16.5</v>
      </c>
      <c r="M9" s="8" t="n">
        <v>14.5</v>
      </c>
      <c r="N9" s="9">
        <f>MAX(B9:M9)</f>
        <v/>
      </c>
    </row>
    <row r="10">
      <c r="A10" s="7" t="inlineStr">
        <is>
          <t>Apsolutni minimum</t>
        </is>
      </c>
      <c r="B10" s="8" t="n">
        <v>-6.4</v>
      </c>
      <c r="C10" s="8" t="n">
        <v>-12.2</v>
      </c>
      <c r="D10" s="8" t="n">
        <v>-5.4</v>
      </c>
      <c r="E10" s="8" t="n">
        <v>1.1</v>
      </c>
      <c r="F10" s="8" t="n">
        <v>2.8</v>
      </c>
      <c r="G10" s="8" t="n">
        <v>9.5</v>
      </c>
      <c r="H10" s="8" t="n">
        <v>14.6</v>
      </c>
      <c r="I10" s="8" t="n">
        <v>14.7</v>
      </c>
      <c r="J10" s="8" t="n">
        <v>6.1</v>
      </c>
      <c r="K10" s="8" t="n">
        <v>2.2</v>
      </c>
      <c r="L10" s="8" t="n">
        <v>-3.3</v>
      </c>
      <c r="M10" s="8" t="n">
        <v>-5.3</v>
      </c>
      <c r="N10" s="9">
        <f>MIN(B10:M10)</f>
        <v/>
      </c>
    </row>
    <row r="11">
      <c r="A11" s="7" t="inlineStr">
        <is>
          <t>Sr. br. mraznih dana</t>
        </is>
      </c>
      <c r="B11" s="10" t="n">
        <v>18</v>
      </c>
      <c r="C11" s="10" t="n">
        <v>20</v>
      </c>
      <c r="D11" s="10" t="n">
        <v>20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7</v>
      </c>
      <c r="M11" s="10" t="n">
        <v>12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5</v>
      </c>
      <c r="H12" s="10" t="n">
        <v>25</v>
      </c>
      <c r="I12" s="10" t="n">
        <v>27</v>
      </c>
      <c r="J12" s="10" t="n">
        <v>3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</v>
      </c>
      <c r="C14" s="8" t="n">
        <v>72.7</v>
      </c>
      <c r="D14" s="8" t="n">
        <v>71.40000000000001</v>
      </c>
      <c r="E14" s="8" t="n">
        <v>70.09999999999999</v>
      </c>
      <c r="F14" s="8" t="n">
        <v>64.90000000000001</v>
      </c>
      <c r="G14" s="8" t="n">
        <v>59</v>
      </c>
      <c r="H14" s="8" t="n">
        <v>48.5</v>
      </c>
      <c r="I14" s="8" t="n">
        <v>50.6</v>
      </c>
      <c r="J14" s="8" t="n">
        <v>70.09999999999999</v>
      </c>
      <c r="K14" s="8" t="n">
        <v>80.2</v>
      </c>
      <c r="L14" s="8" t="n">
        <v>82.59999999999999</v>
      </c>
      <c r="M14" s="8" t="n">
        <v>84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186.8</v>
      </c>
      <c r="C16" s="8" t="n">
        <v>217</v>
      </c>
      <c r="D16" s="8" t="n">
        <v>310.8</v>
      </c>
      <c r="E16" s="8" t="n">
        <v>360.3</v>
      </c>
      <c r="F16" s="8" t="n">
        <v>381.8</v>
      </c>
      <c r="G16" s="8" t="n">
        <v>420.5</v>
      </c>
      <c r="H16" s="8" t="n">
        <v>420.1</v>
      </c>
      <c r="I16" s="8" t="n">
        <v>409.2</v>
      </c>
      <c r="J16" s="8" t="n">
        <v>319.6</v>
      </c>
      <c r="K16" s="8" t="n">
        <v>220.9</v>
      </c>
      <c r="L16" s="8" t="n">
        <v>158.1</v>
      </c>
      <c r="M16" s="8" t="n">
        <v>126.3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5</v>
      </c>
      <c r="D17" s="10" t="n">
        <v>9</v>
      </c>
      <c r="E17" s="10" t="n">
        <v>8</v>
      </c>
      <c r="F17" s="10" t="n">
        <v>5</v>
      </c>
      <c r="G17" s="10" t="n">
        <v>15</v>
      </c>
      <c r="H17" s="10" t="n">
        <v>20</v>
      </c>
      <c r="I17" s="10" t="n">
        <v>25</v>
      </c>
      <c r="J17" s="10" t="n">
        <v>5</v>
      </c>
      <c r="K17" s="10" t="n">
        <v>6</v>
      </c>
      <c r="L17" s="10" t="n">
        <v>1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15</v>
      </c>
      <c r="C18" s="10" t="n">
        <v>11</v>
      </c>
      <c r="D18" s="10" t="n">
        <v>4</v>
      </c>
      <c r="E18" s="10" t="n">
        <v>2</v>
      </c>
      <c r="F18" s="10" t="n">
        <v>5</v>
      </c>
      <c r="G18" s="10" t="n">
        <v>1</v>
      </c>
      <c r="H18" s="10" t="n">
        <v>1</v>
      </c>
      <c r="I18" s="10" t="n">
        <v>0</v>
      </c>
      <c r="J18" s="10" t="n">
        <v>1</v>
      </c>
      <c r="K18" s="10" t="n">
        <v>10</v>
      </c>
      <c r="L18" s="10" t="n">
        <v>17</v>
      </c>
      <c r="M18" s="10" t="n">
        <v>20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193.8</v>
      </c>
      <c r="C20" s="8" t="n">
        <v>114.4</v>
      </c>
      <c r="D20" s="8" t="n">
        <v>59.7</v>
      </c>
      <c r="E20" s="8" t="n">
        <v>48.8</v>
      </c>
      <c r="F20" s="8" t="n">
        <v>67.59999999999999</v>
      </c>
      <c r="G20" s="8" t="n">
        <v>25.6</v>
      </c>
      <c r="H20" s="8" t="n">
        <v>42.4</v>
      </c>
      <c r="I20" s="8" t="n">
        <v>13</v>
      </c>
      <c r="J20" s="8" t="n">
        <v>151.5</v>
      </c>
      <c r="K20" s="8" t="n">
        <v>246.6</v>
      </c>
      <c r="L20" s="8" t="n">
        <v>264.7</v>
      </c>
      <c r="M20" s="8" t="n">
        <v>402.9</v>
      </c>
      <c r="N20" s="9">
        <f>SUM(B20:M20)</f>
        <v/>
      </c>
    </row>
    <row r="21">
      <c r="A21" s="7" t="inlineStr">
        <is>
          <t>Max. dnevna suma</t>
        </is>
      </c>
      <c r="B21" s="8" t="n">
        <v>35.1</v>
      </c>
      <c r="C21" s="8" t="n">
        <v>44.5</v>
      </c>
      <c r="D21" s="8" t="n">
        <v>13.9</v>
      </c>
      <c r="E21" s="8" t="n">
        <v>14.8</v>
      </c>
      <c r="F21" s="8" t="n">
        <v>25.5</v>
      </c>
      <c r="G21" s="8" t="n">
        <v>16.9</v>
      </c>
      <c r="H21" s="8" t="n">
        <v>27.9</v>
      </c>
      <c r="I21" s="8" t="n">
        <v>10.7</v>
      </c>
      <c r="J21" s="8" t="n">
        <v>47.5</v>
      </c>
      <c r="K21" s="8" t="n">
        <v>37.7</v>
      </c>
      <c r="L21" s="8" t="n">
        <v>59.3</v>
      </c>
      <c r="M21" s="8" t="n">
        <v>67.8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13</v>
      </c>
      <c r="D22" s="10" t="n">
        <v>10</v>
      </c>
      <c r="E22" s="10" t="n">
        <v>17</v>
      </c>
      <c r="F22" s="10" t="n">
        <v>16</v>
      </c>
      <c r="G22" s="10" t="n">
        <v>10</v>
      </c>
      <c r="H22" s="10" t="n">
        <v>11</v>
      </c>
      <c r="I22" s="10" t="n">
        <v>6</v>
      </c>
      <c r="J22" s="10" t="n">
        <v>19</v>
      </c>
      <c r="K22" s="10" t="n">
        <v>22</v>
      </c>
      <c r="L22" s="10" t="n">
        <v>23</v>
      </c>
      <c r="M22" s="10" t="n">
        <v>23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8</v>
      </c>
      <c r="C23" s="10" t="n">
        <v>3</v>
      </c>
      <c r="D23" s="10" t="n">
        <v>3</v>
      </c>
      <c r="E23" s="10" t="n">
        <v>1</v>
      </c>
      <c r="F23" s="10" t="n">
        <v>3</v>
      </c>
      <c r="G23" s="10" t="n">
        <v>1</v>
      </c>
      <c r="H23" s="10" t="n">
        <v>1</v>
      </c>
      <c r="I23" s="10" t="n">
        <v>1</v>
      </c>
      <c r="J23" s="10" t="n">
        <v>5</v>
      </c>
      <c r="K23" s="10" t="n">
        <v>9</v>
      </c>
      <c r="L23" s="10" t="n">
        <v>8</v>
      </c>
      <c r="M23" s="10" t="n">
        <v>14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2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2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1953.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1.9</v>
      </c>
      <c r="C6" s="8" t="n">
        <v>2.7</v>
      </c>
      <c r="D6" s="8" t="n">
        <v>5.6</v>
      </c>
      <c r="E6" s="8" t="n">
        <v>12.4</v>
      </c>
      <c r="F6" s="8" t="n">
        <v>15.7</v>
      </c>
      <c r="G6" s="8" t="n">
        <v>20.2</v>
      </c>
      <c r="H6" s="8" t="n">
        <v>24.4</v>
      </c>
      <c r="I6" s="8" t="n">
        <v>23.1</v>
      </c>
      <c r="J6" s="8" t="n">
        <v>19.3</v>
      </c>
      <c r="K6" s="8" t="n">
        <v>15.3</v>
      </c>
      <c r="L6" s="8" t="n">
        <v>5.9</v>
      </c>
      <c r="M6" s="8" t="n">
        <v>4.1</v>
      </c>
      <c r="N6" s="9">
        <f>AVERAGE(B6:M6)</f>
        <v/>
      </c>
    </row>
    <row r="7">
      <c r="A7" s="7" t="inlineStr">
        <is>
          <t>Srednja maksimalna</t>
        </is>
      </c>
      <c r="B7" s="8" t="n">
        <v>6.9</v>
      </c>
      <c r="C7" s="8" t="n">
        <v>8.699999999999999</v>
      </c>
      <c r="D7" s="8" t="n">
        <v>12.8</v>
      </c>
      <c r="E7" s="8" t="n">
        <v>18</v>
      </c>
      <c r="F7" s="8" t="n">
        <v>21.4</v>
      </c>
      <c r="G7" s="8" t="n">
        <v>24.8</v>
      </c>
      <c r="H7" s="8" t="n">
        <v>30.3</v>
      </c>
      <c r="I7" s="8" t="n">
        <v>29.4</v>
      </c>
      <c r="J7" s="8" t="n">
        <v>25.4</v>
      </c>
      <c r="K7" s="8" t="n">
        <v>20.7</v>
      </c>
      <c r="L7" s="8" t="n">
        <v>12.4</v>
      </c>
      <c r="M7" s="8" t="n">
        <v>9.4</v>
      </c>
      <c r="N7" s="9">
        <f>AVERAGE(B7:M7)</f>
        <v/>
      </c>
    </row>
    <row r="8">
      <c r="A8" s="7" t="inlineStr">
        <is>
          <t>Srednja minimalna</t>
        </is>
      </c>
      <c r="B8" s="8" t="n">
        <v>-2.1</v>
      </c>
      <c r="C8" s="8" t="n">
        <v>-2.9</v>
      </c>
      <c r="D8" s="8" t="n">
        <v>-1.9</v>
      </c>
      <c r="E8" s="8" t="n">
        <v>5.8</v>
      </c>
      <c r="F8" s="8" t="n">
        <v>9.1</v>
      </c>
      <c r="G8" s="8" t="n">
        <v>14.2</v>
      </c>
      <c r="H8" s="8" t="n">
        <v>16.4</v>
      </c>
      <c r="I8" s="8" t="n">
        <v>15.9</v>
      </c>
      <c r="J8" s="8" t="n">
        <v>13.1</v>
      </c>
      <c r="K8" s="8" t="n">
        <v>10.4</v>
      </c>
      <c r="L8" s="8" t="n">
        <v>1.2</v>
      </c>
      <c r="M8" s="8" t="n">
        <v>-0</v>
      </c>
      <c r="N8" s="9">
        <f>AVERAGE(B8:M8)</f>
        <v/>
      </c>
    </row>
    <row r="9">
      <c r="A9" s="7" t="inlineStr">
        <is>
          <t>Apsolutni maksimum</t>
        </is>
      </c>
      <c r="B9" s="8" t="n">
        <v>13.2</v>
      </c>
      <c r="C9" s="8" t="n">
        <v>15.9</v>
      </c>
      <c r="D9" s="8" t="n">
        <v>19.8</v>
      </c>
      <c r="E9" s="8" t="n">
        <v>22.3</v>
      </c>
      <c r="F9" s="8" t="n">
        <v>28.8</v>
      </c>
      <c r="G9" s="8" t="n">
        <v>29.3</v>
      </c>
      <c r="H9" s="8" t="n">
        <v>35.1</v>
      </c>
      <c r="I9" s="8" t="n">
        <v>34.2</v>
      </c>
      <c r="J9" s="8" t="n">
        <v>32</v>
      </c>
      <c r="K9" s="8" t="n">
        <v>27.2</v>
      </c>
      <c r="L9" s="8" t="n">
        <v>17.7</v>
      </c>
      <c r="M9" s="8" t="n">
        <v>14.5</v>
      </c>
      <c r="N9" s="9">
        <f>MAX(B9:M9)</f>
        <v/>
      </c>
    </row>
    <row r="10">
      <c r="A10" s="7" t="inlineStr">
        <is>
          <t>Apsolutni minimum</t>
        </is>
      </c>
      <c r="B10" s="8" t="n">
        <v>-6</v>
      </c>
      <c r="C10" s="8" t="n">
        <v>-11.4</v>
      </c>
      <c r="D10" s="8" t="n">
        <v>-4.5</v>
      </c>
      <c r="E10" s="8" t="n">
        <v>1.1</v>
      </c>
      <c r="F10" s="8" t="n">
        <v>1.4</v>
      </c>
      <c r="G10" s="8" t="n">
        <v>10</v>
      </c>
      <c r="H10" s="8" t="n">
        <v>13.4</v>
      </c>
      <c r="I10" s="8" t="n">
        <v>9.9</v>
      </c>
      <c r="J10" s="8" t="n">
        <v>8.199999999999999</v>
      </c>
      <c r="K10" s="8" t="n">
        <v>5.4</v>
      </c>
      <c r="L10" s="8" t="n">
        <v>-5.4</v>
      </c>
      <c r="M10" s="8" t="n">
        <v>-4.9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21</v>
      </c>
      <c r="D11" s="10" t="n">
        <v>23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15</v>
      </c>
      <c r="M11" s="10" t="n">
        <v>18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17</v>
      </c>
      <c r="I12" s="10" t="n">
        <v>16</v>
      </c>
      <c r="J12" s="10" t="n">
        <v>5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73.5</v>
      </c>
      <c r="C14" s="8" t="n">
        <v>72.59999999999999</v>
      </c>
      <c r="D14" s="8" t="n">
        <v>60.6</v>
      </c>
      <c r="E14" s="8" t="n">
        <v>74.2</v>
      </c>
      <c r="F14" s="8" t="n">
        <v>72.8</v>
      </c>
      <c r="G14" s="8" t="n">
        <v>76</v>
      </c>
      <c r="H14" s="8" t="n">
        <v>60.8</v>
      </c>
      <c r="I14" s="8" t="n">
        <v>55.3</v>
      </c>
      <c r="J14" s="8" t="n">
        <v>68.7</v>
      </c>
      <c r="K14" s="8" t="n">
        <v>72</v>
      </c>
      <c r="L14" s="8" t="n">
        <v>72.09999999999999</v>
      </c>
      <c r="M14" s="8" t="n">
        <v>79.8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216.4</v>
      </c>
      <c r="C16" s="8" t="n">
        <v>240.2</v>
      </c>
      <c r="D16" s="8" t="n">
        <v>351.3</v>
      </c>
      <c r="E16" s="8" t="n">
        <v>331.3</v>
      </c>
      <c r="F16" s="8" t="n">
        <v>373.5</v>
      </c>
      <c r="G16" s="8" t="n">
        <v>367.5</v>
      </c>
      <c r="H16" s="8" t="n">
        <v>424.8</v>
      </c>
      <c r="I16" s="8" t="n">
        <v>391.4</v>
      </c>
      <c r="J16" s="8" t="n">
        <v>333.1</v>
      </c>
      <c r="K16" s="8" t="n">
        <v>275.2</v>
      </c>
      <c r="L16" s="8" t="n">
        <v>233.4</v>
      </c>
      <c r="M16" s="8" t="n">
        <v>170.8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9</v>
      </c>
      <c r="D17" s="10" t="n">
        <v>21</v>
      </c>
      <c r="E17" s="10" t="n">
        <v>8</v>
      </c>
      <c r="F17" s="10" t="n">
        <v>5</v>
      </c>
      <c r="G17" s="10" t="n">
        <v>6</v>
      </c>
      <c r="H17" s="10" t="n">
        <v>18</v>
      </c>
      <c r="I17" s="10" t="n">
        <v>20</v>
      </c>
      <c r="J17" s="10" t="n">
        <v>14</v>
      </c>
      <c r="K17" s="10" t="n">
        <v>3</v>
      </c>
      <c r="L17" s="10" t="n">
        <v>18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7</v>
      </c>
      <c r="D18" s="10" t="n">
        <v>1</v>
      </c>
      <c r="E18" s="10" t="n">
        <v>4</v>
      </c>
      <c r="F18" s="10" t="n">
        <v>6</v>
      </c>
      <c r="G18" s="10" t="n">
        <v>5</v>
      </c>
      <c r="H18" s="10" t="n">
        <v>0</v>
      </c>
      <c r="I18" s="10" t="n">
        <v>2</v>
      </c>
      <c r="J18" s="10" t="n">
        <v>3</v>
      </c>
      <c r="K18" s="10" t="n">
        <v>7</v>
      </c>
      <c r="L18" s="10" t="n">
        <v>5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94.90000000000001</v>
      </c>
      <c r="C20" s="8" t="n">
        <v>126.4</v>
      </c>
      <c r="D20" s="8" t="n">
        <v>4.9</v>
      </c>
      <c r="E20" s="8" t="n">
        <v>120.4</v>
      </c>
      <c r="F20" s="8" t="n">
        <v>151.4</v>
      </c>
      <c r="G20" s="8" t="n">
        <v>95.2</v>
      </c>
      <c r="H20" s="8" t="n">
        <v>25.6</v>
      </c>
      <c r="I20" s="8" t="n">
        <v>52.3</v>
      </c>
      <c r="J20" s="8" t="n">
        <v>63.5</v>
      </c>
      <c r="K20" s="8" t="n">
        <v>75.2</v>
      </c>
      <c r="L20" s="8" t="n">
        <v>10.7</v>
      </c>
      <c r="M20" s="8" t="n">
        <v>98.5</v>
      </c>
      <c r="N20" s="9">
        <f>SUM(B20:M20)</f>
        <v/>
      </c>
    </row>
    <row r="21">
      <c r="A21" s="7" t="inlineStr">
        <is>
          <t>Max. dnevna suma</t>
        </is>
      </c>
      <c r="B21" s="8" t="n">
        <v>37</v>
      </c>
      <c r="C21" s="8" t="n">
        <v>49.2</v>
      </c>
      <c r="D21" s="8" t="n">
        <v>4</v>
      </c>
      <c r="E21" s="8" t="n">
        <v>25.2</v>
      </c>
      <c r="F21" s="8" t="n">
        <v>34</v>
      </c>
      <c r="G21" s="8" t="n">
        <v>30.3</v>
      </c>
      <c r="H21" s="8" t="n">
        <v>4.6</v>
      </c>
      <c r="I21" s="8" t="n">
        <v>30.1</v>
      </c>
      <c r="J21" s="8" t="n">
        <v>28.8</v>
      </c>
      <c r="K21" s="8" t="n">
        <v>10.8</v>
      </c>
      <c r="L21" s="8" t="n">
        <v>4.3</v>
      </c>
      <c r="M21" s="8" t="n">
        <v>36.3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12</v>
      </c>
      <c r="C22" s="10" t="n">
        <v>15</v>
      </c>
      <c r="D22" s="10" t="n">
        <v>5</v>
      </c>
      <c r="E22" s="10" t="n">
        <v>20</v>
      </c>
      <c r="F22" s="10" t="n">
        <v>24</v>
      </c>
      <c r="G22" s="10" t="n">
        <v>21</v>
      </c>
      <c r="H22" s="10" t="n">
        <v>13</v>
      </c>
      <c r="I22" s="10" t="n">
        <v>12</v>
      </c>
      <c r="J22" s="10" t="n">
        <v>11</v>
      </c>
      <c r="K22" s="10" t="n">
        <v>20</v>
      </c>
      <c r="L22" s="10" t="n">
        <v>7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4</v>
      </c>
      <c r="D23" s="10" t="n">
        <v>0</v>
      </c>
      <c r="E23" s="10" t="n">
        <v>5</v>
      </c>
      <c r="F23" s="10" t="n">
        <v>5</v>
      </c>
      <c r="G23" s="10" t="n">
        <v>4</v>
      </c>
      <c r="H23" s="10" t="n">
        <v>0</v>
      </c>
      <c r="I23" s="10" t="n">
        <v>2</v>
      </c>
      <c r="J23" s="10" t="n">
        <v>2</v>
      </c>
      <c r="K23" s="10" t="n">
        <v>1</v>
      </c>
      <c r="L23" s="10" t="n">
        <v>0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5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5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1954.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-0.7</v>
      </c>
      <c r="C6" s="8" t="n">
        <v>-0.8</v>
      </c>
      <c r="D6" s="8" t="n">
        <v>8.699999999999999</v>
      </c>
      <c r="E6" s="8" t="n">
        <v>10.3</v>
      </c>
      <c r="F6" s="8" t="n">
        <v>14.5</v>
      </c>
      <c r="G6" s="8" t="n">
        <v>21.2</v>
      </c>
      <c r="H6" s="8" t="n">
        <v>22.2</v>
      </c>
      <c r="I6" s="8" t="n">
        <v>22.6</v>
      </c>
      <c r="J6" s="8" t="n">
        <v>20.4</v>
      </c>
      <c r="K6" s="8" t="n">
        <v>12.3</v>
      </c>
      <c r="L6" s="8" t="n">
        <v>7.9</v>
      </c>
      <c r="M6" s="8" t="n">
        <v>4.7</v>
      </c>
      <c r="N6" s="9">
        <f>AVERAGE(B6:M6)</f>
        <v/>
      </c>
    </row>
    <row r="7">
      <c r="A7" s="7" t="inlineStr">
        <is>
          <t>Srednja maksimalna</t>
        </is>
      </c>
      <c r="B7" s="8" t="n">
        <v>3.7</v>
      </c>
      <c r="C7" s="8" t="n">
        <v>4.4</v>
      </c>
      <c r="D7" s="8" t="n">
        <v>13.5</v>
      </c>
      <c r="E7" s="8" t="n">
        <v>15.6</v>
      </c>
      <c r="F7" s="8" t="n">
        <v>19.6</v>
      </c>
      <c r="G7" s="8" t="n">
        <v>26.5</v>
      </c>
      <c r="H7" s="8" t="n">
        <v>27.9</v>
      </c>
      <c r="I7" s="8" t="n">
        <v>28.9</v>
      </c>
      <c r="J7" s="8" t="n">
        <v>26.9</v>
      </c>
      <c r="K7" s="8" t="n">
        <v>18.3</v>
      </c>
      <c r="L7" s="8" t="n">
        <v>12</v>
      </c>
      <c r="M7" s="8" t="n">
        <v>9.800000000000001</v>
      </c>
      <c r="N7" s="9">
        <f>AVERAGE(B7:M7)</f>
        <v/>
      </c>
    </row>
    <row r="8">
      <c r="A8" s="7" t="inlineStr">
        <is>
          <t>Srednja minimalna</t>
        </is>
      </c>
      <c r="B8" s="8" t="n">
        <v>-4.7</v>
      </c>
      <c r="C8" s="8" t="n">
        <v>-6.1</v>
      </c>
      <c r="D8" s="8" t="n">
        <v>3.8</v>
      </c>
      <c r="E8" s="8" t="n">
        <v>4.3</v>
      </c>
      <c r="F8" s="8" t="n">
        <v>8.300000000000001</v>
      </c>
      <c r="G8" s="8" t="n">
        <v>14.5</v>
      </c>
      <c r="H8" s="8" t="n">
        <v>14.7</v>
      </c>
      <c r="I8" s="8" t="n">
        <v>15</v>
      </c>
      <c r="J8" s="8" t="n">
        <v>13</v>
      </c>
      <c r="K8" s="8" t="n">
        <v>6.9</v>
      </c>
      <c r="L8" s="8" t="n">
        <v>4.4</v>
      </c>
      <c r="M8" s="8" t="n">
        <v>0.4</v>
      </c>
      <c r="N8" s="9">
        <f>AVERAGE(B8:M8)</f>
        <v/>
      </c>
    </row>
    <row r="9">
      <c r="A9" s="7" t="inlineStr">
        <is>
          <t>Apsolutni maksimum</t>
        </is>
      </c>
      <c r="B9" s="8" t="n">
        <v>10</v>
      </c>
      <c r="C9" s="8" t="n">
        <v>11.6</v>
      </c>
      <c r="D9" s="8" t="n">
        <v>19.5</v>
      </c>
      <c r="E9" s="8" t="n">
        <v>20.2</v>
      </c>
      <c r="F9" s="8" t="n">
        <v>26.2</v>
      </c>
      <c r="G9" s="8" t="n">
        <v>33.3</v>
      </c>
      <c r="H9" s="8" t="n">
        <v>33.4</v>
      </c>
      <c r="I9" s="8" t="n">
        <v>33.7</v>
      </c>
      <c r="J9" s="8" t="n">
        <v>31.3</v>
      </c>
      <c r="K9" s="8" t="n">
        <v>22.4</v>
      </c>
      <c r="L9" s="8" t="n">
        <v>19.9</v>
      </c>
      <c r="M9" s="8" t="n">
        <v>15.3</v>
      </c>
      <c r="N9" s="9">
        <f>MAX(B9:M9)</f>
        <v/>
      </c>
    </row>
    <row r="10">
      <c r="A10" s="7" t="inlineStr">
        <is>
          <t>Apsolutni minimum</t>
        </is>
      </c>
      <c r="B10" s="8" t="n">
        <v>-13.9</v>
      </c>
      <c r="C10" s="8" t="n">
        <v>-15</v>
      </c>
      <c r="D10" s="8" t="n">
        <v>-2.4</v>
      </c>
      <c r="E10" s="8" t="n">
        <v>-0.1</v>
      </c>
      <c r="F10" s="8" t="n">
        <v>2.7</v>
      </c>
      <c r="G10" s="8" t="n">
        <v>10.8</v>
      </c>
      <c r="H10" s="8" t="n">
        <v>11.5</v>
      </c>
      <c r="I10" s="8" t="n">
        <v>11.1</v>
      </c>
      <c r="J10" s="8" t="n">
        <v>5.8</v>
      </c>
      <c r="K10" s="8" t="n">
        <v>0.3</v>
      </c>
      <c r="L10" s="8" t="n">
        <v>-4.8</v>
      </c>
      <c r="M10" s="8" t="n">
        <v>-5.6</v>
      </c>
      <c r="N10" s="9">
        <f>MIN(B10:M10)</f>
        <v/>
      </c>
    </row>
    <row r="11">
      <c r="A11" s="7" t="inlineStr">
        <is>
          <t>Sr. br. mraznih dana</t>
        </is>
      </c>
      <c r="B11" s="10" t="n">
        <v>25</v>
      </c>
      <c r="C11" s="10" t="n">
        <v>23</v>
      </c>
      <c r="D11" s="10" t="n">
        <v>3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6</v>
      </c>
      <c r="M11" s="10" t="n">
        <v>18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3</v>
      </c>
      <c r="H12" s="10" t="n">
        <v>9</v>
      </c>
      <c r="I12" s="10" t="n">
        <v>14</v>
      </c>
      <c r="J12" s="10" t="n">
        <v>12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73.3</v>
      </c>
      <c r="C14" s="8" t="n">
        <v>78.59999999999999</v>
      </c>
      <c r="D14" s="8" t="n">
        <v>81.40000000000001</v>
      </c>
      <c r="E14" s="8" t="n">
        <v>70.90000000000001</v>
      </c>
      <c r="F14" s="8" t="n">
        <v>76.7</v>
      </c>
      <c r="G14" s="8" t="n">
        <v>73.8</v>
      </c>
      <c r="H14" s="8" t="n">
        <v>58.8</v>
      </c>
      <c r="I14" s="8" t="n">
        <v>52.5</v>
      </c>
      <c r="J14" s="8" t="n">
        <v>59.4</v>
      </c>
      <c r="K14" s="8" t="n">
        <v>75.2</v>
      </c>
      <c r="L14" s="8" t="n">
        <v>79.59999999999999</v>
      </c>
      <c r="M14" s="8" t="n">
        <v>81.5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176.3</v>
      </c>
      <c r="C16" s="8" t="n">
        <v>165.1</v>
      </c>
      <c r="D16" s="8" t="n">
        <v>244.3</v>
      </c>
      <c r="E16" s="8" t="n">
        <v>309.3</v>
      </c>
      <c r="F16" s="8" t="n">
        <v>354.5</v>
      </c>
      <c r="G16" s="8" t="n">
        <v>389.2</v>
      </c>
      <c r="H16" s="8" t="n">
        <v>430</v>
      </c>
      <c r="I16" s="8" t="n">
        <v>404</v>
      </c>
      <c r="J16" s="8" t="n">
        <v>348.6</v>
      </c>
      <c r="K16" s="8" t="n">
        <v>270.6</v>
      </c>
      <c r="L16" s="8" t="n">
        <v>147</v>
      </c>
      <c r="M16" s="8" t="n">
        <v>192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2</v>
      </c>
      <c r="D17" s="10" t="n">
        <v>2</v>
      </c>
      <c r="E17" s="10" t="n">
        <v>6</v>
      </c>
      <c r="F17" s="10" t="n">
        <v>2</v>
      </c>
      <c r="G17" s="10" t="n">
        <v>10</v>
      </c>
      <c r="H17" s="10" t="n">
        <v>20</v>
      </c>
      <c r="I17" s="10" t="n">
        <v>22</v>
      </c>
      <c r="J17" s="10" t="n">
        <v>20</v>
      </c>
      <c r="K17" s="10" t="n">
        <v>10</v>
      </c>
      <c r="L17" s="10" t="n">
        <v>4</v>
      </c>
      <c r="M17" s="10" t="n">
        <v>8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13</v>
      </c>
      <c r="D18" s="10" t="n">
        <v>14</v>
      </c>
      <c r="E18" s="10" t="n">
        <v>8</v>
      </c>
      <c r="F18" s="10" t="n">
        <v>4</v>
      </c>
      <c r="G18" s="10" t="n">
        <v>2</v>
      </c>
      <c r="H18" s="10" t="n">
        <v>0</v>
      </c>
      <c r="I18" s="10" t="n">
        <v>1</v>
      </c>
      <c r="J18" s="10" t="n">
        <v>0</v>
      </c>
      <c r="K18" s="10" t="n">
        <v>9</v>
      </c>
      <c r="L18" s="10" t="n">
        <v>17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157.7</v>
      </c>
      <c r="C20" s="8" t="n">
        <v>170.1</v>
      </c>
      <c r="D20" s="8" t="n">
        <v>236.8</v>
      </c>
      <c r="E20" s="8" t="n">
        <v>106.3</v>
      </c>
      <c r="F20" s="8" t="n">
        <v>208.8</v>
      </c>
      <c r="G20" s="8" t="n">
        <v>79</v>
      </c>
      <c r="H20" s="8" t="n">
        <v>17</v>
      </c>
      <c r="I20" s="8" t="n">
        <v>50.8</v>
      </c>
      <c r="J20" s="8" t="n">
        <v>45</v>
      </c>
      <c r="K20" s="8" t="n">
        <v>144.9</v>
      </c>
      <c r="L20" s="8" t="n">
        <v>191.7</v>
      </c>
      <c r="M20" s="8" t="n">
        <v>165.6</v>
      </c>
      <c r="N20" s="9">
        <f>SUM(B20:M20)</f>
        <v/>
      </c>
    </row>
    <row r="21">
      <c r="A21" s="7" t="inlineStr">
        <is>
          <t>Max. dnevna suma</t>
        </is>
      </c>
      <c r="B21" s="8" t="n">
        <v>25.9</v>
      </c>
      <c r="C21" s="8" t="n">
        <v>37.4</v>
      </c>
      <c r="D21" s="8" t="n">
        <v>33.6</v>
      </c>
      <c r="E21" s="8" t="n">
        <v>20.8</v>
      </c>
      <c r="F21" s="8" t="n">
        <v>50.3</v>
      </c>
      <c r="G21" s="8" t="n">
        <v>14.4</v>
      </c>
      <c r="H21" s="8" t="n">
        <v>5.6</v>
      </c>
      <c r="I21" s="8" t="n">
        <v>17.9</v>
      </c>
      <c r="J21" s="8" t="n">
        <v>24.6</v>
      </c>
      <c r="K21" s="8" t="n">
        <v>36.5</v>
      </c>
      <c r="L21" s="8" t="n">
        <v>40.1</v>
      </c>
      <c r="M21" s="8" t="n">
        <v>38.2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20</v>
      </c>
      <c r="D22" s="10" t="n">
        <v>22</v>
      </c>
      <c r="E22" s="10" t="n">
        <v>19</v>
      </c>
      <c r="F22" s="10" t="n">
        <v>24</v>
      </c>
      <c r="G22" s="10" t="n">
        <v>18</v>
      </c>
      <c r="H22" s="10" t="n">
        <v>11</v>
      </c>
      <c r="I22" s="10" t="n">
        <v>9</v>
      </c>
      <c r="J22" s="10" t="n">
        <v>9</v>
      </c>
      <c r="K22" s="10" t="n">
        <v>13</v>
      </c>
      <c r="L22" s="10" t="n">
        <v>20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6</v>
      </c>
      <c r="C23" s="10" t="n">
        <v>5</v>
      </c>
      <c r="D23" s="10" t="n">
        <v>10</v>
      </c>
      <c r="E23" s="10" t="n">
        <v>4</v>
      </c>
      <c r="F23" s="10" t="n">
        <v>8</v>
      </c>
      <c r="G23" s="10" t="n">
        <v>3</v>
      </c>
      <c r="H23" s="10" t="n">
        <v>0</v>
      </c>
      <c r="I23" s="10" t="n">
        <v>3</v>
      </c>
      <c r="J23" s="10" t="n">
        <v>2</v>
      </c>
      <c r="K23" s="10" t="n">
        <v>5</v>
      </c>
      <c r="L23" s="10" t="n">
        <v>6</v>
      </c>
      <c r="M23" s="10" t="n">
        <v>6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10</v>
      </c>
      <c r="C25" s="10" t="n">
        <v>7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3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10</v>
      </c>
      <c r="C26" s="10" t="n">
        <v>7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3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1955.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6.4</v>
      </c>
      <c r="C6" s="8" t="n">
        <v>7.1</v>
      </c>
      <c r="D6" s="8" t="n">
        <v>7.1</v>
      </c>
      <c r="E6" s="8" t="n">
        <v>10</v>
      </c>
      <c r="F6" s="8" t="n">
        <v>16.9</v>
      </c>
      <c r="G6" s="8" t="n">
        <v>20.5</v>
      </c>
      <c r="H6" s="8" t="n">
        <v>22.6</v>
      </c>
      <c r="I6" s="8" t="n">
        <v>21</v>
      </c>
      <c r="J6" s="8" t="n">
        <v>18</v>
      </c>
      <c r="K6" s="8" t="n">
        <v>13.5</v>
      </c>
      <c r="L6" s="8" t="n">
        <v>7.5</v>
      </c>
      <c r="M6" s="8" t="n">
        <v>6</v>
      </c>
      <c r="N6" s="9">
        <f>AVERAGE(B6:M6)</f>
        <v/>
      </c>
    </row>
    <row r="7">
      <c r="A7" s="7" t="inlineStr">
        <is>
          <t>Srednja maksimalna</t>
        </is>
      </c>
      <c r="B7" s="8" t="n">
        <v>10.9</v>
      </c>
      <c r="C7" s="8" t="n">
        <v>10.7</v>
      </c>
      <c r="D7" s="8" t="n">
        <v>12.2</v>
      </c>
      <c r="E7" s="8" t="n">
        <v>15.9</v>
      </c>
      <c r="F7" s="8" t="n">
        <v>22.2</v>
      </c>
      <c r="G7" s="8" t="n">
        <v>26.1</v>
      </c>
      <c r="H7" s="8" t="n">
        <v>28.3</v>
      </c>
      <c r="I7" s="8" t="n">
        <v>26.7</v>
      </c>
      <c r="J7" s="8" t="n">
        <v>23.5</v>
      </c>
      <c r="K7" s="8" t="n">
        <v>17.7</v>
      </c>
      <c r="L7" s="8" t="n">
        <v>12</v>
      </c>
      <c r="M7" s="8" t="n">
        <v>10.5</v>
      </c>
      <c r="N7" s="9">
        <f>AVERAGE(B7:M7)</f>
        <v/>
      </c>
    </row>
    <row r="8">
      <c r="A8" s="7" t="inlineStr">
        <is>
          <t>Srednja minimalna</t>
        </is>
      </c>
      <c r="B8" s="8" t="n">
        <v>2.1</v>
      </c>
      <c r="C8" s="8" t="n">
        <v>3.3</v>
      </c>
      <c r="D8" s="8" t="n">
        <v>2</v>
      </c>
      <c r="E8" s="8" t="n">
        <v>2.9</v>
      </c>
      <c r="F8" s="8" t="n">
        <v>9.9</v>
      </c>
      <c r="G8" s="8" t="n">
        <v>13.1</v>
      </c>
      <c r="H8" s="8" t="n">
        <v>15.6</v>
      </c>
      <c r="I8" s="8" t="n">
        <v>14.5</v>
      </c>
      <c r="J8" s="8" t="n">
        <v>12.3</v>
      </c>
      <c r="K8" s="8" t="n">
        <v>9.199999999999999</v>
      </c>
      <c r="L8" s="8" t="n">
        <v>3.7</v>
      </c>
      <c r="M8" s="8" t="n">
        <v>1.9</v>
      </c>
      <c r="N8" s="9">
        <f>AVERAGE(B8:M8)</f>
        <v/>
      </c>
    </row>
    <row r="9">
      <c r="A9" s="7" t="inlineStr">
        <is>
          <t>Apsolutni maksimum</t>
        </is>
      </c>
      <c r="B9" s="8" t="n">
        <v>14.9</v>
      </c>
      <c r="C9" s="8" t="n">
        <v>15.4</v>
      </c>
      <c r="D9" s="8" t="n">
        <v>18.8</v>
      </c>
      <c r="E9" s="8" t="n">
        <v>24.3</v>
      </c>
      <c r="F9" s="8" t="n">
        <v>24.6</v>
      </c>
      <c r="G9" s="8" t="n">
        <v>31.2</v>
      </c>
      <c r="H9" s="8" t="n">
        <v>33.4</v>
      </c>
      <c r="I9" s="8" t="n">
        <v>29.3</v>
      </c>
      <c r="J9" s="8" t="n">
        <v>29.5</v>
      </c>
      <c r="K9" s="8" t="n">
        <v>21.8</v>
      </c>
      <c r="L9" s="8" t="n">
        <v>18.2</v>
      </c>
      <c r="M9" s="8" t="n">
        <v>13.2</v>
      </c>
      <c r="N9" s="9">
        <f>MAX(B9:M9)</f>
        <v/>
      </c>
    </row>
    <row r="10">
      <c r="A10" s="7" t="inlineStr">
        <is>
          <t>Apsolutni minimum</t>
        </is>
      </c>
      <c r="B10" s="8" t="n">
        <v>-5.2</v>
      </c>
      <c r="C10" s="8" t="n">
        <v>-4.6</v>
      </c>
      <c r="D10" s="8" t="n">
        <v>-4.3</v>
      </c>
      <c r="E10" s="8" t="n">
        <v>-1.9</v>
      </c>
      <c r="F10" s="8" t="n">
        <v>4.2</v>
      </c>
      <c r="G10" s="8" t="n">
        <v>7.4</v>
      </c>
      <c r="H10" s="8" t="n">
        <v>11.1</v>
      </c>
      <c r="I10" s="8" t="n">
        <v>11</v>
      </c>
      <c r="J10" s="8" t="n">
        <v>6.9</v>
      </c>
      <c r="K10" s="8" t="n">
        <v>2.7</v>
      </c>
      <c r="L10" s="8" t="n">
        <v>-6.7</v>
      </c>
      <c r="M10" s="8" t="n">
        <v>-3.7</v>
      </c>
      <c r="N10" s="9">
        <f>MIN(B10:M10)</f>
        <v/>
      </c>
    </row>
    <row r="11">
      <c r="A11" s="7" t="inlineStr">
        <is>
          <t>Sr. br. mraznih dana</t>
        </is>
      </c>
      <c r="B11" s="10" t="n">
        <v>10</v>
      </c>
      <c r="C11" s="10" t="n">
        <v>7</v>
      </c>
      <c r="D11" s="10" t="n">
        <v>10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8</v>
      </c>
      <c r="M11" s="10" t="n">
        <v>13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</v>
      </c>
      <c r="H12" s="10" t="n">
        <v>10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82.59999999999999</v>
      </c>
      <c r="C14" s="8" t="n">
        <v>84.5</v>
      </c>
      <c r="D14" s="8" t="n">
        <v>74.2</v>
      </c>
      <c r="E14" s="8" t="n">
        <v>63.8</v>
      </c>
      <c r="F14" s="8" t="n">
        <v>64.5</v>
      </c>
      <c r="G14" s="8" t="n">
        <v>61.8</v>
      </c>
      <c r="H14" s="8" t="n">
        <v>63.3</v>
      </c>
      <c r="I14" s="8" t="n">
        <v>66.90000000000001</v>
      </c>
      <c r="J14" s="8" t="n">
        <v>71.5</v>
      </c>
      <c r="K14" s="8" t="n">
        <v>82.59999999999999</v>
      </c>
      <c r="L14" s="8" t="n">
        <v>78.09999999999999</v>
      </c>
      <c r="M14" s="8" t="n">
        <v>86.3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148.3</v>
      </c>
      <c r="C16" s="8" t="n">
        <v>144.6</v>
      </c>
      <c r="D16" s="8" t="n">
        <v>269.4</v>
      </c>
      <c r="E16" s="8" t="n">
        <v>352.4</v>
      </c>
      <c r="F16" s="8" t="n">
        <v>404.4</v>
      </c>
      <c r="G16" s="8" t="n">
        <v>416.1</v>
      </c>
      <c r="H16" s="8" t="n">
        <v>414.7</v>
      </c>
      <c r="I16" s="8" t="n">
        <v>394</v>
      </c>
      <c r="J16" s="8" t="n">
        <v>283.2</v>
      </c>
      <c r="K16" s="8" t="n">
        <v>229.1</v>
      </c>
      <c r="L16" s="8" t="n">
        <v>206.2</v>
      </c>
      <c r="M16" s="8" t="n">
        <v>160.6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1</v>
      </c>
      <c r="D17" s="10" t="n">
        <v>4</v>
      </c>
      <c r="E17" s="10" t="n">
        <v>11</v>
      </c>
      <c r="F17" s="10" t="n">
        <v>5</v>
      </c>
      <c r="G17" s="10" t="n">
        <v>14</v>
      </c>
      <c r="H17" s="10" t="n">
        <v>14</v>
      </c>
      <c r="I17" s="10" t="n">
        <v>10</v>
      </c>
      <c r="J17" s="10" t="n">
        <v>9</v>
      </c>
      <c r="K17" s="10" t="n">
        <v>3</v>
      </c>
      <c r="L17" s="10" t="n">
        <v>4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15</v>
      </c>
      <c r="C18" s="10" t="n">
        <v>17</v>
      </c>
      <c r="D18" s="10" t="n">
        <v>13</v>
      </c>
      <c r="E18" s="10" t="n">
        <v>6</v>
      </c>
      <c r="F18" s="10" t="n">
        <v>2</v>
      </c>
      <c r="G18" s="10" t="n">
        <v>0</v>
      </c>
      <c r="H18" s="10" t="n">
        <v>2</v>
      </c>
      <c r="I18" s="10" t="n">
        <v>1</v>
      </c>
      <c r="J18" s="10" t="n">
        <v>10</v>
      </c>
      <c r="K18" s="10" t="n">
        <v>16</v>
      </c>
      <c r="L18" s="10" t="n">
        <v>9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165.9</v>
      </c>
      <c r="C20" s="8" t="n">
        <v>301.4</v>
      </c>
      <c r="D20" s="8" t="n">
        <v>162.5</v>
      </c>
      <c r="E20" s="8" t="n">
        <v>8.9</v>
      </c>
      <c r="F20" s="8" t="n">
        <v>42.2</v>
      </c>
      <c r="G20" s="8" t="n">
        <v>23.8</v>
      </c>
      <c r="H20" s="8" t="n">
        <v>46.7</v>
      </c>
      <c r="I20" s="8" t="n">
        <v>60.7</v>
      </c>
      <c r="J20" s="8" t="n">
        <v>210.3</v>
      </c>
      <c r="K20" s="8" t="n">
        <v>231.1</v>
      </c>
      <c r="L20" s="8" t="n">
        <v>164.8</v>
      </c>
      <c r="M20" s="8" t="n">
        <v>148.6</v>
      </c>
      <c r="N20" s="9">
        <f>SUM(B20:M20)</f>
        <v/>
      </c>
    </row>
    <row r="21">
      <c r="A21" s="7" t="inlineStr">
        <is>
          <t>Max. dnevna suma</t>
        </is>
      </c>
      <c r="B21" s="8" t="n">
        <v>25.1</v>
      </c>
      <c r="C21" s="8" t="n">
        <v>35.3</v>
      </c>
      <c r="D21" s="8" t="n">
        <v>29.7</v>
      </c>
      <c r="E21" s="8" t="n">
        <v>4.3</v>
      </c>
      <c r="F21" s="8" t="n">
        <v>11.8</v>
      </c>
      <c r="G21" s="8" t="n">
        <v>6.3</v>
      </c>
      <c r="H21" s="8" t="n">
        <v>16.2</v>
      </c>
      <c r="I21" s="8" t="n">
        <v>23.3</v>
      </c>
      <c r="J21" s="8" t="n">
        <v>48.5</v>
      </c>
      <c r="K21" s="8" t="n">
        <v>40.7</v>
      </c>
      <c r="L21" s="8" t="n">
        <v>34.7</v>
      </c>
      <c r="M21" s="8" t="n">
        <v>46.7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26</v>
      </c>
      <c r="D22" s="10" t="n">
        <v>18</v>
      </c>
      <c r="E22" s="10" t="n">
        <v>16</v>
      </c>
      <c r="F22" s="10" t="n">
        <v>12</v>
      </c>
      <c r="G22" s="10" t="n">
        <v>12</v>
      </c>
      <c r="H22" s="10" t="n">
        <v>18</v>
      </c>
      <c r="I22" s="10" t="n">
        <v>19</v>
      </c>
      <c r="J22" s="10" t="n">
        <v>13</v>
      </c>
      <c r="K22" s="10" t="n">
        <v>22</v>
      </c>
      <c r="L22" s="10" t="n">
        <v>18</v>
      </c>
      <c r="M22" s="10" t="n">
        <v>21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14</v>
      </c>
      <c r="D23" s="10" t="n">
        <v>7</v>
      </c>
      <c r="E23" s="10" t="n">
        <v>0</v>
      </c>
      <c r="F23" s="10" t="n">
        <v>1</v>
      </c>
      <c r="G23" s="10" t="n">
        <v>0</v>
      </c>
      <c r="H23" s="10" t="n">
        <v>2</v>
      </c>
      <c r="I23" s="10" t="n">
        <v>2</v>
      </c>
      <c r="J23" s="10" t="n">
        <v>9</v>
      </c>
      <c r="K23" s="10" t="n">
        <v>9</v>
      </c>
      <c r="L23" s="10" t="n">
        <v>7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3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3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1956.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4.3</v>
      </c>
      <c r="C6" s="8" t="n">
        <v>-3.7</v>
      </c>
      <c r="D6" s="8" t="n">
        <v>4.3</v>
      </c>
      <c r="E6" s="8" t="n">
        <v>10.5</v>
      </c>
      <c r="F6" s="8" t="n">
        <v>15.5</v>
      </c>
      <c r="G6" s="8" t="n">
        <v>18.3</v>
      </c>
      <c r="H6" s="8" t="n">
        <v>22.6</v>
      </c>
      <c r="I6" s="8" t="n">
        <v>24.3</v>
      </c>
      <c r="J6" s="8" t="n">
        <v>20.2</v>
      </c>
      <c r="K6" s="8" t="n">
        <v>12.8</v>
      </c>
      <c r="L6" s="8" t="n">
        <v>7.6</v>
      </c>
      <c r="M6" s="8" t="n">
        <v>2.2</v>
      </c>
      <c r="N6" s="9">
        <f>AVERAGE(B6:M6)</f>
        <v/>
      </c>
    </row>
    <row r="7">
      <c r="A7" s="7" t="inlineStr">
        <is>
          <t>Srednja maksimalna</t>
        </is>
      </c>
      <c r="B7" s="8" t="n">
        <v>8.300000000000001</v>
      </c>
      <c r="C7" s="8" t="n">
        <v>2</v>
      </c>
      <c r="D7" s="8" t="n">
        <v>9.800000000000001</v>
      </c>
      <c r="E7" s="8" t="n">
        <v>15.1</v>
      </c>
      <c r="F7" s="8" t="n">
        <v>21</v>
      </c>
      <c r="G7" s="8" t="n">
        <v>23</v>
      </c>
      <c r="H7" s="8" t="n">
        <v>28.5</v>
      </c>
      <c r="I7" s="8" t="n">
        <v>31</v>
      </c>
      <c r="J7" s="8" t="n">
        <v>27.1</v>
      </c>
      <c r="K7" s="8" t="n">
        <v>19.1</v>
      </c>
      <c r="L7" s="8" t="n">
        <v>11.7</v>
      </c>
      <c r="M7" s="8" t="n">
        <v>8.300000000000001</v>
      </c>
      <c r="N7" s="9">
        <f>AVERAGE(B7:M7)</f>
        <v/>
      </c>
    </row>
    <row r="8">
      <c r="A8" s="7" t="inlineStr">
        <is>
          <t>Srednja minimalna</t>
        </is>
      </c>
      <c r="B8" s="8" t="n">
        <v>0.6</v>
      </c>
      <c r="C8" s="8" t="n">
        <v>-9.1</v>
      </c>
      <c r="D8" s="8" t="n">
        <v>-1.5</v>
      </c>
      <c r="E8" s="8" t="n">
        <v>5.3</v>
      </c>
      <c r="F8" s="8" t="n">
        <v>8.9</v>
      </c>
      <c r="G8" s="8" t="n">
        <v>12.3</v>
      </c>
      <c r="H8" s="8" t="n">
        <v>15</v>
      </c>
      <c r="I8" s="8" t="n">
        <v>16.2</v>
      </c>
      <c r="J8" s="8" t="n">
        <v>12.5</v>
      </c>
      <c r="K8" s="8" t="n">
        <v>6.5</v>
      </c>
      <c r="L8" s="8" t="n">
        <v>4</v>
      </c>
      <c r="M8" s="8" t="n">
        <v>-2.1</v>
      </c>
      <c r="N8" s="9">
        <f>AVERAGE(B8:M8)</f>
        <v/>
      </c>
    </row>
    <row r="9">
      <c r="A9" s="7" t="inlineStr">
        <is>
          <t>Apsolutni maksimum</t>
        </is>
      </c>
      <c r="B9" s="8" t="n">
        <v>13.6</v>
      </c>
      <c r="C9" s="8" t="n">
        <v>10.6</v>
      </c>
      <c r="D9" s="8" t="n">
        <v>17.1</v>
      </c>
      <c r="E9" s="8" t="n">
        <v>19.6</v>
      </c>
      <c r="F9" s="8" t="n">
        <v>26.2</v>
      </c>
      <c r="G9" s="8" t="n">
        <v>28.6</v>
      </c>
      <c r="H9" s="8" t="n">
        <v>34.4</v>
      </c>
      <c r="I9" s="8" t="n">
        <v>36.3</v>
      </c>
      <c r="J9" s="8" t="n">
        <v>34.8</v>
      </c>
      <c r="K9" s="8" t="n">
        <v>27.1</v>
      </c>
      <c r="L9" s="8" t="n">
        <v>16.7</v>
      </c>
      <c r="M9" s="8" t="n">
        <v>12.1</v>
      </c>
      <c r="N9" s="9">
        <f>MAX(B9:M9)</f>
        <v/>
      </c>
    </row>
    <row r="10">
      <c r="A10" s="7" t="inlineStr">
        <is>
          <t>Apsolutni minimum</t>
        </is>
      </c>
      <c r="B10" s="8" t="n">
        <v>-5</v>
      </c>
      <c r="C10" s="8" t="n">
        <v>-20.3</v>
      </c>
      <c r="D10" s="8" t="n">
        <v>-10.5</v>
      </c>
      <c r="E10" s="8" t="n">
        <v>-2.5</v>
      </c>
      <c r="F10" s="8" t="n">
        <v>1.3</v>
      </c>
      <c r="G10" s="8" t="n">
        <v>8.300000000000001</v>
      </c>
      <c r="H10" s="8" t="n">
        <v>11.8</v>
      </c>
      <c r="I10" s="8" t="n">
        <v>13.6</v>
      </c>
      <c r="J10" s="8" t="n">
        <v>7.4</v>
      </c>
      <c r="K10" s="8" t="n">
        <v>0.3</v>
      </c>
      <c r="L10" s="8" t="n">
        <v>-2.5</v>
      </c>
      <c r="M10" s="8" t="n">
        <v>-5.6</v>
      </c>
      <c r="N10" s="9">
        <f>MIN(B10:M10)</f>
        <v/>
      </c>
    </row>
    <row r="11">
      <c r="A11" s="7" t="inlineStr">
        <is>
          <t>Sr. br. mraznih dana</t>
        </is>
      </c>
      <c r="B11" s="10" t="n">
        <v>16</v>
      </c>
      <c r="C11" s="10" t="n">
        <v>26</v>
      </c>
      <c r="D11" s="10" t="n">
        <v>20</v>
      </c>
      <c r="E11" s="10" t="n">
        <v>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6</v>
      </c>
      <c r="M11" s="10" t="n">
        <v>25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7</v>
      </c>
      <c r="I12" s="10" t="n">
        <v>19</v>
      </c>
      <c r="J12" s="10" t="n">
        <v>7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79.90000000000001</v>
      </c>
      <c r="C14" s="8" t="n">
        <v>74.3</v>
      </c>
      <c r="D14" s="8" t="n">
        <v>73</v>
      </c>
      <c r="E14" s="8" t="n">
        <v>75</v>
      </c>
      <c r="F14" s="8" t="n">
        <v>75.2</v>
      </c>
      <c r="G14" s="8" t="n">
        <v>73.90000000000001</v>
      </c>
      <c r="H14" s="8" t="n">
        <v>63.7</v>
      </c>
      <c r="I14" s="8" t="n">
        <v>55</v>
      </c>
      <c r="J14" s="8" t="n">
        <v>56.6</v>
      </c>
      <c r="K14" s="8" t="n">
        <v>69.90000000000001</v>
      </c>
      <c r="L14" s="8" t="n">
        <v>82.40000000000001</v>
      </c>
      <c r="M14" s="8" t="n">
        <v>80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195.7</v>
      </c>
      <c r="C16" s="8" t="n">
        <v>209</v>
      </c>
      <c r="D16" s="8" t="n">
        <v>288.5</v>
      </c>
      <c r="E16" s="8" t="n">
        <v>302.2</v>
      </c>
      <c r="F16" s="8" t="n">
        <v>376.2</v>
      </c>
      <c r="G16" s="8" t="n">
        <v>364.7</v>
      </c>
      <c r="H16" s="8" t="n">
        <v>426.2</v>
      </c>
      <c r="I16" s="8" t="n">
        <v>411.4</v>
      </c>
      <c r="J16" s="8" t="n">
        <v>337.5</v>
      </c>
      <c r="K16" s="8" t="n">
        <v>300</v>
      </c>
      <c r="L16" s="8" t="n">
        <v>163</v>
      </c>
      <c r="M16" s="8" t="n">
        <v>211.2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3</v>
      </c>
      <c r="D17" s="10" t="n">
        <v>4</v>
      </c>
      <c r="E17" s="10" t="n">
        <v>0</v>
      </c>
      <c r="F17" s="10" t="n">
        <v>7</v>
      </c>
      <c r="G17" s="10" t="n">
        <v>3</v>
      </c>
      <c r="H17" s="10" t="n">
        <v>25</v>
      </c>
      <c r="I17" s="10" t="n">
        <v>24</v>
      </c>
      <c r="J17" s="10" t="n">
        <v>18</v>
      </c>
      <c r="K17" s="10" t="n">
        <v>13</v>
      </c>
      <c r="L17" s="10" t="n">
        <v>3</v>
      </c>
      <c r="M17" s="10" t="n">
        <v>9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14</v>
      </c>
      <c r="D18" s="10" t="n">
        <v>10</v>
      </c>
      <c r="E18" s="10" t="n">
        <v>9</v>
      </c>
      <c r="F18" s="10" t="n">
        <v>3</v>
      </c>
      <c r="G18" s="10" t="n">
        <v>3</v>
      </c>
      <c r="H18" s="10" t="n">
        <v>0</v>
      </c>
      <c r="I18" s="10" t="n">
        <v>0</v>
      </c>
      <c r="J18" s="10" t="n">
        <v>2</v>
      </c>
      <c r="K18" s="10" t="n">
        <v>4</v>
      </c>
      <c r="L18" s="10" t="n">
        <v>17</v>
      </c>
      <c r="M18" s="10" t="n">
        <v>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125.5</v>
      </c>
      <c r="C20" s="8" t="n">
        <v>195.8</v>
      </c>
      <c r="D20" s="8" t="n">
        <v>70.3</v>
      </c>
      <c r="E20" s="8" t="n">
        <v>153.8</v>
      </c>
      <c r="F20" s="8" t="n">
        <v>95.3</v>
      </c>
      <c r="G20" s="8" t="n">
        <v>102.1</v>
      </c>
      <c r="H20" s="8" t="n">
        <v>21.9</v>
      </c>
      <c r="I20" s="8" t="n">
        <v>10.3</v>
      </c>
      <c r="J20" s="8" t="n">
        <v>10.3</v>
      </c>
      <c r="K20" s="8" t="n">
        <v>129.9</v>
      </c>
      <c r="L20" s="8" t="n">
        <v>262</v>
      </c>
      <c r="M20" s="8" t="n">
        <v>73.2</v>
      </c>
      <c r="N20" s="9">
        <f>SUM(B20:M20)</f>
        <v/>
      </c>
    </row>
    <row r="21">
      <c r="A21" s="7" t="inlineStr">
        <is>
          <t>Max. dnevna suma</t>
        </is>
      </c>
      <c r="B21" s="8" t="n">
        <v>31.1</v>
      </c>
      <c r="C21" s="8" t="n">
        <v>43</v>
      </c>
      <c r="D21" s="8" t="n">
        <v>27.5</v>
      </c>
      <c r="E21" s="8" t="n">
        <v>41.9</v>
      </c>
      <c r="F21" s="8" t="n">
        <v>40.6</v>
      </c>
      <c r="G21" s="8" t="n">
        <v>25.3</v>
      </c>
      <c r="H21" s="8" t="n">
        <v>16.6</v>
      </c>
      <c r="I21" s="8" t="n">
        <v>4.3</v>
      </c>
      <c r="J21" s="8" t="n">
        <v>7.6</v>
      </c>
      <c r="K21" s="8" t="n">
        <v>39.2</v>
      </c>
      <c r="L21" s="8" t="n">
        <v>55.1</v>
      </c>
      <c r="M21" s="8" t="n">
        <v>17.3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23</v>
      </c>
      <c r="C22" s="10" t="n">
        <v>18</v>
      </c>
      <c r="D22" s="10" t="n">
        <v>19</v>
      </c>
      <c r="E22" s="10" t="n">
        <v>24</v>
      </c>
      <c r="F22" s="10" t="n">
        <v>19</v>
      </c>
      <c r="G22" s="10" t="n">
        <v>19</v>
      </c>
      <c r="H22" s="10" t="n">
        <v>8</v>
      </c>
      <c r="I22" s="10" t="n">
        <v>5</v>
      </c>
      <c r="J22" s="10" t="n">
        <v>5</v>
      </c>
      <c r="K22" s="10" t="n">
        <v>11</v>
      </c>
      <c r="L22" s="10" t="n">
        <v>21</v>
      </c>
      <c r="M22" s="10" t="n">
        <v>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6</v>
      </c>
      <c r="D23" s="10" t="n">
        <v>3</v>
      </c>
      <c r="E23" s="10" t="n">
        <v>6</v>
      </c>
      <c r="F23" s="10" t="n">
        <v>3</v>
      </c>
      <c r="G23" s="10" t="n">
        <v>3</v>
      </c>
      <c r="H23" s="10" t="n">
        <v>1</v>
      </c>
      <c r="I23" s="10" t="n">
        <v>0</v>
      </c>
      <c r="J23" s="10" t="n">
        <v>0</v>
      </c>
      <c r="K23" s="10" t="n">
        <v>5</v>
      </c>
      <c r="L23" s="10" t="n">
        <v>9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5</v>
      </c>
      <c r="C25" s="10" t="n">
        <v>14</v>
      </c>
      <c r="D25" s="10" t="n">
        <v>5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5</v>
      </c>
      <c r="C26" s="10" t="n">
        <v>14</v>
      </c>
      <c r="D26" s="10" t="n">
        <v>5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1957.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1.6</v>
      </c>
      <c r="C6" s="8" t="n">
        <v>6.3</v>
      </c>
      <c r="D6" s="8" t="n">
        <v>8.199999999999999</v>
      </c>
      <c r="E6" s="8" t="n">
        <v>11.9</v>
      </c>
      <c r="F6" s="8" t="n">
        <v>14.7</v>
      </c>
      <c r="G6" s="8" t="n">
        <v>21.6</v>
      </c>
      <c r="H6" s="8" t="n">
        <v>23.4</v>
      </c>
      <c r="I6" s="8" t="n">
        <v>22.1</v>
      </c>
      <c r="J6" s="8" t="n">
        <v>17.4</v>
      </c>
      <c r="K6" s="8" t="n">
        <v>14.3</v>
      </c>
      <c r="L6" s="8" t="n">
        <v>8.5</v>
      </c>
      <c r="M6" s="8" t="n">
        <v>3.5</v>
      </c>
      <c r="N6" s="9">
        <f>AVERAGE(B6:M6)</f>
        <v/>
      </c>
    </row>
    <row r="7">
      <c r="A7" s="7" t="inlineStr">
        <is>
          <t>Srednja maksimalna</t>
        </is>
      </c>
      <c r="B7" s="8" t="n">
        <v>7.4</v>
      </c>
      <c r="C7" s="8" t="n">
        <v>11.3</v>
      </c>
      <c r="D7" s="8" t="n">
        <v>14.3</v>
      </c>
      <c r="E7" s="8" t="n">
        <v>17.5</v>
      </c>
      <c r="F7" s="8" t="n">
        <v>19.4</v>
      </c>
      <c r="G7" s="8" t="n">
        <v>27.2</v>
      </c>
      <c r="H7" s="8" t="n">
        <v>29</v>
      </c>
      <c r="I7" s="8" t="n">
        <v>28.1</v>
      </c>
      <c r="J7" s="8" t="n">
        <v>22.9</v>
      </c>
      <c r="K7" s="8" t="n">
        <v>20</v>
      </c>
      <c r="L7" s="8" t="n">
        <v>14</v>
      </c>
      <c r="M7" s="8" t="n">
        <v>8.4</v>
      </c>
      <c r="N7" s="9">
        <f>AVERAGE(B7:M7)</f>
        <v/>
      </c>
    </row>
    <row r="8">
      <c r="A8" s="7" t="inlineStr">
        <is>
          <t>Srednja minimalna</t>
        </is>
      </c>
      <c r="B8" s="8" t="n">
        <v>-2.9</v>
      </c>
      <c r="C8" s="8" t="n">
        <v>1.3</v>
      </c>
      <c r="D8" s="8" t="n">
        <v>1.9</v>
      </c>
      <c r="E8" s="8" t="n">
        <v>5.7</v>
      </c>
      <c r="F8" s="8" t="n">
        <v>8.800000000000001</v>
      </c>
      <c r="G8" s="8" t="n">
        <v>14.6</v>
      </c>
      <c r="H8" s="8" t="n">
        <v>16.2</v>
      </c>
      <c r="I8" s="8" t="n">
        <v>15.3</v>
      </c>
      <c r="J8" s="8" t="n">
        <v>11.4</v>
      </c>
      <c r="K8" s="8" t="n">
        <v>9.4</v>
      </c>
      <c r="L8" s="8" t="n">
        <v>4.1</v>
      </c>
      <c r="M8" s="8" t="n">
        <v>-0.4</v>
      </c>
      <c r="N8" s="9">
        <f>AVERAGE(B8:M8)</f>
        <v/>
      </c>
    </row>
    <row r="9">
      <c r="A9" s="7" t="inlineStr">
        <is>
          <t>Apsolutni maksimum</t>
        </is>
      </c>
      <c r="B9" s="8" t="n">
        <v>12.6</v>
      </c>
      <c r="C9" s="8" t="n">
        <v>15.1</v>
      </c>
      <c r="D9" s="8" t="n">
        <v>21.5</v>
      </c>
      <c r="E9" s="8" t="n">
        <v>22.9</v>
      </c>
      <c r="F9" s="8" t="n">
        <v>23.7</v>
      </c>
      <c r="G9" s="8" t="n">
        <v>32.2</v>
      </c>
      <c r="H9" s="8" t="n">
        <v>35.3</v>
      </c>
      <c r="I9" s="8" t="n">
        <v>36.8</v>
      </c>
      <c r="J9" s="8" t="n">
        <v>27.7</v>
      </c>
      <c r="K9" s="8" t="n">
        <v>25</v>
      </c>
      <c r="L9" s="8" t="n">
        <v>18.2</v>
      </c>
      <c r="M9" s="8" t="n">
        <v>15.2</v>
      </c>
      <c r="N9" s="9">
        <f>MAX(B9:M9)</f>
        <v/>
      </c>
    </row>
    <row r="10">
      <c r="A10" s="7" t="inlineStr">
        <is>
          <t>Apsolutni minimum</t>
        </is>
      </c>
      <c r="B10" s="8" t="n">
        <v>-11</v>
      </c>
      <c r="C10" s="8" t="n">
        <v>-4.6</v>
      </c>
      <c r="D10" s="8" t="n">
        <v>-3.6</v>
      </c>
      <c r="E10" s="8" t="n">
        <v>0.6</v>
      </c>
      <c r="F10" s="8" t="n">
        <v>-0.3</v>
      </c>
      <c r="G10" s="8" t="n">
        <v>9.1</v>
      </c>
      <c r="H10" s="8" t="n">
        <v>12.1</v>
      </c>
      <c r="I10" s="8" t="n">
        <v>9.800000000000001</v>
      </c>
      <c r="J10" s="8" t="n">
        <v>6.1</v>
      </c>
      <c r="K10" s="8" t="n">
        <v>4.2</v>
      </c>
      <c r="L10" s="8" t="n">
        <v>-4.3</v>
      </c>
      <c r="M10" s="8" t="n">
        <v>-7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11</v>
      </c>
      <c r="D11" s="10" t="n">
        <v>10</v>
      </c>
      <c r="E11" s="10" t="n">
        <v>0</v>
      </c>
      <c r="F11" s="10" t="n">
        <v>1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19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12</v>
      </c>
      <c r="I12" s="10" t="n">
        <v>8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76.2</v>
      </c>
      <c r="C14" s="8" t="n">
        <v>83.2</v>
      </c>
      <c r="D14" s="8" t="n">
        <v>73.3</v>
      </c>
      <c r="E14" s="8" t="n">
        <v>72.2</v>
      </c>
      <c r="F14" s="8" t="n">
        <v>78.8</v>
      </c>
      <c r="G14" s="8" t="n">
        <v>65.7</v>
      </c>
      <c r="H14" s="8" t="n">
        <v>62.2</v>
      </c>
      <c r="I14" s="8" t="n">
        <v>61.5</v>
      </c>
      <c r="J14" s="8" t="n">
        <v>76.09999999999999</v>
      </c>
      <c r="K14" s="8" t="n">
        <v>79</v>
      </c>
      <c r="L14" s="8" t="n">
        <v>81.5</v>
      </c>
      <c r="M14" s="8" t="n">
        <v>77.5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182.1</v>
      </c>
      <c r="C16" s="8" t="n">
        <v>185.3</v>
      </c>
      <c r="D16" s="8" t="n">
        <v>309.6</v>
      </c>
      <c r="E16" s="8" t="n">
        <v>330.3</v>
      </c>
      <c r="F16" s="8" t="n">
        <v>332.9</v>
      </c>
      <c r="G16" s="8" t="n">
        <v>408.1</v>
      </c>
      <c r="H16" s="8" t="n">
        <v>425.8</v>
      </c>
      <c r="I16" s="8" t="n">
        <v>403.4</v>
      </c>
      <c r="J16" s="8" t="n">
        <v>322.9</v>
      </c>
      <c r="K16" s="8" t="n">
        <v>255.2</v>
      </c>
      <c r="L16" s="8" t="n">
        <v>229.2</v>
      </c>
      <c r="M16" s="8" t="n">
        <v>189.2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0</v>
      </c>
      <c r="D17" s="10" t="n">
        <v>7</v>
      </c>
      <c r="E17" s="10" t="n">
        <v>6</v>
      </c>
      <c r="F17" s="10" t="n">
        <v>1</v>
      </c>
      <c r="G17" s="10" t="n">
        <v>10</v>
      </c>
      <c r="H17" s="10" t="n">
        <v>21</v>
      </c>
      <c r="I17" s="10" t="n">
        <v>15</v>
      </c>
      <c r="J17" s="10" t="n">
        <v>11</v>
      </c>
      <c r="K17" s="10" t="n">
        <v>14</v>
      </c>
      <c r="L17" s="10" t="n">
        <v>5</v>
      </c>
      <c r="M17" s="10" t="n">
        <v>8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15</v>
      </c>
      <c r="D18" s="10" t="n">
        <v>10</v>
      </c>
      <c r="E18" s="10" t="n">
        <v>5</v>
      </c>
      <c r="F18" s="10" t="n">
        <v>6</v>
      </c>
      <c r="G18" s="10" t="n">
        <v>2</v>
      </c>
      <c r="H18" s="10" t="n">
        <v>0</v>
      </c>
      <c r="I18" s="10" t="n">
        <v>1</v>
      </c>
      <c r="J18" s="10" t="n">
        <v>4</v>
      </c>
      <c r="K18" s="10" t="n">
        <v>10</v>
      </c>
      <c r="L18" s="10" t="n">
        <v>11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122.6</v>
      </c>
      <c r="C20" s="8" t="n">
        <v>146.1</v>
      </c>
      <c r="D20" s="8" t="n">
        <v>23.9</v>
      </c>
      <c r="E20" s="8" t="n">
        <v>104</v>
      </c>
      <c r="F20" s="8" t="n">
        <v>206.2</v>
      </c>
      <c r="G20" s="8" t="n">
        <v>39.9</v>
      </c>
      <c r="H20" s="8" t="n">
        <v>63.8</v>
      </c>
      <c r="I20" s="8" t="n">
        <v>65.59999999999999</v>
      </c>
      <c r="J20" s="8" t="n">
        <v>112.1</v>
      </c>
      <c r="K20" s="8" t="n">
        <v>164.4</v>
      </c>
      <c r="L20" s="8" t="n">
        <v>232.6</v>
      </c>
      <c r="M20" s="8" t="n">
        <v>136.6</v>
      </c>
      <c r="N20" s="9">
        <f>SUM(B20:M20)</f>
        <v/>
      </c>
    </row>
    <row r="21">
      <c r="A21" s="7" t="inlineStr">
        <is>
          <t>Max. dnevna suma</t>
        </is>
      </c>
      <c r="B21" s="8" t="n">
        <v>29.4</v>
      </c>
      <c r="C21" s="8" t="n">
        <v>35.1</v>
      </c>
      <c r="D21" s="8" t="n">
        <v>6.1</v>
      </c>
      <c r="E21" s="8" t="n">
        <v>23.3</v>
      </c>
      <c r="F21" s="8" t="n">
        <v>26.3</v>
      </c>
      <c r="G21" s="8" t="n">
        <v>17.7</v>
      </c>
      <c r="H21" s="8" t="n">
        <v>37.2</v>
      </c>
      <c r="I21" s="8" t="n">
        <v>19.4</v>
      </c>
      <c r="J21" s="8" t="n">
        <v>19.4</v>
      </c>
      <c r="K21" s="8" t="n">
        <v>56.9</v>
      </c>
      <c r="L21" s="8" t="n">
        <v>82.09999999999999</v>
      </c>
      <c r="M21" s="8" t="n">
        <v>34.5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15</v>
      </c>
      <c r="C22" s="10" t="n">
        <v>21</v>
      </c>
      <c r="D22" s="10" t="n">
        <v>9</v>
      </c>
      <c r="E22" s="10" t="n">
        <v>21</v>
      </c>
      <c r="F22" s="10" t="n">
        <v>28</v>
      </c>
      <c r="G22" s="10" t="n">
        <v>12</v>
      </c>
      <c r="H22" s="10" t="n">
        <v>10</v>
      </c>
      <c r="I22" s="10" t="n">
        <v>10</v>
      </c>
      <c r="J22" s="10" t="n">
        <v>12</v>
      </c>
      <c r="K22" s="10" t="n">
        <v>12</v>
      </c>
      <c r="L22" s="10" t="n">
        <v>12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7</v>
      </c>
      <c r="D23" s="10" t="n">
        <v>0</v>
      </c>
      <c r="E23" s="10" t="n">
        <v>3</v>
      </c>
      <c r="F23" s="10" t="n">
        <v>7</v>
      </c>
      <c r="G23" s="10" t="n">
        <v>2</v>
      </c>
      <c r="H23" s="10" t="n">
        <v>1</v>
      </c>
      <c r="I23" s="10" t="n">
        <v>4</v>
      </c>
      <c r="J23" s="10" t="n">
        <v>5</v>
      </c>
      <c r="K23" s="10" t="n">
        <v>4</v>
      </c>
      <c r="L23" s="10" t="n">
        <v>5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4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4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1958.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2.9</v>
      </c>
      <c r="C6" s="8" t="n">
        <v>6.1</v>
      </c>
      <c r="D6" s="8" t="n">
        <v>4.1</v>
      </c>
      <c r="E6" s="8" t="n">
        <v>9.4</v>
      </c>
      <c r="F6" s="8" t="n">
        <v>17.6</v>
      </c>
      <c r="G6" s="8" t="n">
        <v>19.2</v>
      </c>
      <c r="H6" s="8" t="n">
        <v>22.7</v>
      </c>
      <c r="I6" s="8" t="n">
        <v>23.1</v>
      </c>
      <c r="J6" s="8" t="n">
        <v>17.4</v>
      </c>
      <c r="K6" s="8" t="n">
        <v>12.7</v>
      </c>
      <c r="L6" s="8" t="n">
        <v>9.699999999999999</v>
      </c>
      <c r="M6" s="8" t="n">
        <v>7</v>
      </c>
      <c r="N6" s="9">
        <f>AVERAGE(B6:M6)</f>
        <v/>
      </c>
    </row>
    <row r="7">
      <c r="A7" s="7" t="inlineStr">
        <is>
          <t>Srednja maksimalna</t>
        </is>
      </c>
      <c r="B7" s="8" t="n">
        <v>8.5</v>
      </c>
      <c r="C7" s="8" t="n">
        <v>10.5</v>
      </c>
      <c r="D7" s="8" t="n">
        <v>9</v>
      </c>
      <c r="E7" s="8" t="n">
        <v>14</v>
      </c>
      <c r="F7" s="8" t="n">
        <v>23.2</v>
      </c>
      <c r="G7" s="8" t="n">
        <v>24.3</v>
      </c>
      <c r="H7" s="8" t="n">
        <v>28.5</v>
      </c>
      <c r="I7" s="8" t="n">
        <v>29.7</v>
      </c>
      <c r="J7" s="8" t="n">
        <v>23.8</v>
      </c>
      <c r="K7" s="8" t="n">
        <v>18.5</v>
      </c>
      <c r="L7" s="8" t="n">
        <v>14.1</v>
      </c>
      <c r="M7" s="8" t="n">
        <v>10.6</v>
      </c>
      <c r="N7" s="9">
        <f>AVERAGE(B7:M7)</f>
        <v/>
      </c>
    </row>
    <row r="8">
      <c r="A8" s="7" t="inlineStr">
        <is>
          <t>Srednja minimalna</t>
        </is>
      </c>
      <c r="B8" s="8" t="n">
        <v>-1.4</v>
      </c>
      <c r="C8" s="8" t="n">
        <v>1.7</v>
      </c>
      <c r="D8" s="8" t="n">
        <v>-0.8</v>
      </c>
      <c r="E8" s="8" t="n">
        <v>4.4</v>
      </c>
      <c r="F8" s="8" t="n">
        <v>10.5</v>
      </c>
      <c r="G8" s="8" t="n">
        <v>12.9</v>
      </c>
      <c r="H8" s="8" t="n">
        <v>15.3</v>
      </c>
      <c r="I8" s="8" t="n">
        <v>15.5</v>
      </c>
      <c r="J8" s="8" t="n">
        <v>10.8</v>
      </c>
      <c r="K8" s="8" t="n">
        <v>7.3</v>
      </c>
      <c r="L8" s="8" t="n">
        <v>5.9</v>
      </c>
      <c r="M8" s="8" t="n">
        <v>3.2</v>
      </c>
      <c r="N8" s="9">
        <f>AVERAGE(B8:M8)</f>
        <v/>
      </c>
    </row>
    <row r="9">
      <c r="A9" s="7" t="inlineStr">
        <is>
          <t>Apsolutni maksimum</t>
        </is>
      </c>
      <c r="B9" s="8" t="n">
        <v>11.8</v>
      </c>
      <c r="C9" s="8" t="n">
        <v>15.2</v>
      </c>
      <c r="D9" s="8" t="n">
        <v>15.5</v>
      </c>
      <c r="E9" s="8" t="n">
        <v>18.3</v>
      </c>
      <c r="F9" s="8" t="n">
        <v>29.9</v>
      </c>
      <c r="G9" s="8" t="n">
        <v>28.2</v>
      </c>
      <c r="H9" s="8" t="n">
        <v>34.5</v>
      </c>
      <c r="I9" s="8" t="n">
        <v>35.9</v>
      </c>
      <c r="J9" s="8" t="n">
        <v>26.4</v>
      </c>
      <c r="K9" s="8" t="n">
        <v>26.6</v>
      </c>
      <c r="L9" s="8" t="n">
        <v>18.5</v>
      </c>
      <c r="M9" s="8" t="n">
        <v>15.1</v>
      </c>
      <c r="N9" s="9">
        <f>MAX(B9:M9)</f>
        <v/>
      </c>
    </row>
    <row r="10">
      <c r="A10" s="7" t="inlineStr">
        <is>
          <t>Apsolutni minimum</t>
        </is>
      </c>
      <c r="B10" s="8" t="n">
        <v>-6.4</v>
      </c>
      <c r="C10" s="8" t="n">
        <v>-5.4</v>
      </c>
      <c r="D10" s="8" t="n">
        <v>-10.6</v>
      </c>
      <c r="E10" s="8" t="n">
        <v>-2.5</v>
      </c>
      <c r="F10" s="8" t="n">
        <v>2.6</v>
      </c>
      <c r="G10" s="8" t="n">
        <v>8.4</v>
      </c>
      <c r="H10" s="8" t="n">
        <v>12</v>
      </c>
      <c r="I10" s="8" t="n">
        <v>10.6</v>
      </c>
      <c r="J10" s="8" t="n">
        <v>6.1</v>
      </c>
      <c r="K10" s="8" t="n">
        <v>1.3</v>
      </c>
      <c r="L10" s="8" t="n">
        <v>0.8</v>
      </c>
      <c r="M10" s="8" t="n">
        <v>-5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11</v>
      </c>
      <c r="D11" s="10" t="n">
        <v>18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11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8</v>
      </c>
      <c r="I12" s="10" t="n">
        <v>13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76.7</v>
      </c>
      <c r="C14" s="8" t="n">
        <v>83.2</v>
      </c>
      <c r="D14" s="8" t="n">
        <v>77.7</v>
      </c>
      <c r="E14" s="8" t="n">
        <v>76.5</v>
      </c>
      <c r="F14" s="8" t="n">
        <v>75.2</v>
      </c>
      <c r="G14" s="8" t="n">
        <v>70.90000000000001</v>
      </c>
      <c r="H14" s="8" t="n">
        <v>63.8</v>
      </c>
      <c r="I14" s="8" t="n">
        <v>60.5</v>
      </c>
      <c r="J14" s="8" t="n">
        <v>68.8</v>
      </c>
      <c r="K14" s="8" t="n">
        <v>76.2</v>
      </c>
      <c r="L14" s="8" t="n">
        <v>85.5</v>
      </c>
      <c r="M14" s="8" t="n">
        <v>84.90000000000001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216.5</v>
      </c>
      <c r="C16" s="8" t="n">
        <v>175.4</v>
      </c>
      <c r="D16" s="8" t="n">
        <v>255.8</v>
      </c>
      <c r="E16" s="8" t="n">
        <v>268.6</v>
      </c>
      <c r="F16" s="8" t="n">
        <v>386.2</v>
      </c>
      <c r="G16" s="8" t="n">
        <v>400.7</v>
      </c>
      <c r="H16" s="8" t="n">
        <v>426.8</v>
      </c>
      <c r="I16" s="8" t="n">
        <v>402</v>
      </c>
      <c r="J16" s="8" t="n">
        <v>322.8</v>
      </c>
      <c r="K16" s="8" t="n">
        <v>305.9</v>
      </c>
      <c r="L16" s="8" t="n">
        <v>159.8</v>
      </c>
      <c r="M16" s="8" t="n">
        <v>148.3</v>
      </c>
      <c r="N16" s="9">
        <f>SUM(B16:M16)</f>
        <v/>
      </c>
    </row>
    <row r="17">
      <c r="A17" s="7" t="inlineStr">
        <is>
          <t>Broj vedrih dana</t>
        </is>
      </c>
      <c r="B17" s="10" t="n">
        <v>13</v>
      </c>
      <c r="C17" s="10" t="n">
        <v>2</v>
      </c>
      <c r="D17" s="10" t="n">
        <v>4</v>
      </c>
      <c r="E17" s="10" t="n">
        <v>2</v>
      </c>
      <c r="F17" s="10" t="n">
        <v>6</v>
      </c>
      <c r="G17" s="10" t="n">
        <v>10</v>
      </c>
      <c r="H17" s="10" t="n">
        <v>22</v>
      </c>
      <c r="I17" s="10" t="n">
        <v>23</v>
      </c>
      <c r="J17" s="10" t="n">
        <v>19</v>
      </c>
      <c r="K17" s="10" t="n">
        <v>13</v>
      </c>
      <c r="L17" s="10" t="n">
        <v>0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8</v>
      </c>
      <c r="C18" s="10" t="n">
        <v>18</v>
      </c>
      <c r="D18" s="10" t="n">
        <v>14</v>
      </c>
      <c r="E18" s="10" t="n">
        <v>13</v>
      </c>
      <c r="F18" s="10" t="n">
        <v>2</v>
      </c>
      <c r="G18" s="10" t="n">
        <v>2</v>
      </c>
      <c r="H18" s="10" t="n">
        <v>0</v>
      </c>
      <c r="I18" s="10" t="n">
        <v>0</v>
      </c>
      <c r="J18" s="10" t="n">
        <v>2</v>
      </c>
      <c r="K18" s="10" t="n">
        <v>3</v>
      </c>
      <c r="L18" s="10" t="n">
        <v>17</v>
      </c>
      <c r="M18" s="10" t="n">
        <v>17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116.4</v>
      </c>
      <c r="C20" s="8" t="n">
        <v>148.1</v>
      </c>
      <c r="D20" s="8" t="n">
        <v>200.5</v>
      </c>
      <c r="E20" s="8" t="n">
        <v>261.2</v>
      </c>
      <c r="F20" s="8" t="n">
        <v>63.9</v>
      </c>
      <c r="G20" s="8" t="n">
        <v>77.2</v>
      </c>
      <c r="H20" s="8" t="n">
        <v>11</v>
      </c>
      <c r="I20" s="8" t="n">
        <v>12.6</v>
      </c>
      <c r="J20" s="8" t="n">
        <v>37.6</v>
      </c>
      <c r="K20" s="8" t="n">
        <v>100.1</v>
      </c>
      <c r="L20" s="8" t="n">
        <v>246.2</v>
      </c>
      <c r="M20" s="8" t="n">
        <v>292</v>
      </c>
      <c r="N20" s="9">
        <f>SUM(B20:M20)</f>
        <v/>
      </c>
    </row>
    <row r="21">
      <c r="A21" s="7" t="inlineStr">
        <is>
          <t>Max. dnevna suma</t>
        </is>
      </c>
      <c r="B21" s="8" t="n">
        <v>30.2</v>
      </c>
      <c r="C21" s="8" t="n">
        <v>44</v>
      </c>
      <c r="D21" s="8" t="n">
        <v>24.4</v>
      </c>
      <c r="E21" s="8" t="n">
        <v>29.3</v>
      </c>
      <c r="F21" s="8" t="n">
        <v>18.5</v>
      </c>
      <c r="G21" s="8" t="n">
        <v>33.6</v>
      </c>
      <c r="H21" s="8" t="n">
        <v>4.4</v>
      </c>
      <c r="I21" s="8" t="n">
        <v>8.9</v>
      </c>
      <c r="J21" s="8" t="n">
        <v>19</v>
      </c>
      <c r="K21" s="8" t="n">
        <v>67.3</v>
      </c>
      <c r="L21" s="8" t="n">
        <v>39.5</v>
      </c>
      <c r="M21" s="8" t="n">
        <v>47.6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12</v>
      </c>
      <c r="C22" s="10" t="n">
        <v>21</v>
      </c>
      <c r="D22" s="10" t="n">
        <v>23</v>
      </c>
      <c r="E22" s="10" t="n">
        <v>22</v>
      </c>
      <c r="F22" s="10" t="n">
        <v>14</v>
      </c>
      <c r="G22" s="10" t="n">
        <v>13</v>
      </c>
      <c r="H22" s="10" t="n">
        <v>10</v>
      </c>
      <c r="I22" s="10" t="n">
        <v>5</v>
      </c>
      <c r="J22" s="10" t="n">
        <v>7</v>
      </c>
      <c r="K22" s="10" t="n">
        <v>10</v>
      </c>
      <c r="L22" s="10" t="n">
        <v>21</v>
      </c>
      <c r="M22" s="10" t="n">
        <v>25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5</v>
      </c>
      <c r="C23" s="10" t="n">
        <v>4</v>
      </c>
      <c r="D23" s="10" t="n">
        <v>11</v>
      </c>
      <c r="E23" s="10" t="n">
        <v>12</v>
      </c>
      <c r="F23" s="10" t="n">
        <v>3</v>
      </c>
      <c r="G23" s="10" t="n">
        <v>2</v>
      </c>
      <c r="H23" s="10" t="n">
        <v>0</v>
      </c>
      <c r="I23" s="10" t="n">
        <v>0</v>
      </c>
      <c r="J23" s="10" t="n">
        <v>2</v>
      </c>
      <c r="K23" s="10" t="n">
        <v>1</v>
      </c>
      <c r="L23" s="10" t="n">
        <v>8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5</v>
      </c>
      <c r="D25" s="10" t="n">
        <v>8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5</v>
      </c>
      <c r="D26" s="10" t="n">
        <v>8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1959.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1.6</v>
      </c>
      <c r="C6" s="8" t="n">
        <v>2.9</v>
      </c>
      <c r="D6" s="8" t="n">
        <v>10</v>
      </c>
      <c r="E6" s="8" t="n">
        <v>11.3</v>
      </c>
      <c r="F6" s="8" t="n">
        <v>15.5</v>
      </c>
      <c r="G6" s="8" t="n">
        <v>18.7</v>
      </c>
      <c r="H6" s="8" t="n">
        <v>23.2</v>
      </c>
      <c r="I6" s="8" t="n">
        <v>21.2</v>
      </c>
      <c r="J6" s="8" t="n">
        <v>16.6</v>
      </c>
      <c r="K6" s="8" t="n">
        <v>11.4</v>
      </c>
      <c r="L6" s="8" t="n">
        <v>8.699999999999999</v>
      </c>
      <c r="M6" s="8" t="n">
        <v>7.3</v>
      </c>
      <c r="N6" s="9">
        <f>AVERAGE(B6:M6)</f>
        <v/>
      </c>
    </row>
    <row r="7">
      <c r="A7" s="7" t="inlineStr">
        <is>
          <t>Srednja maksimalna</t>
        </is>
      </c>
      <c r="B7" s="8" t="n">
        <v>6.6</v>
      </c>
      <c r="C7" s="8" t="n">
        <v>10.1</v>
      </c>
      <c r="D7" s="8" t="n">
        <v>15</v>
      </c>
      <c r="E7" s="8" t="n">
        <v>16.2</v>
      </c>
      <c r="F7" s="8" t="n">
        <v>20.5</v>
      </c>
      <c r="G7" s="8" t="n">
        <v>23.8</v>
      </c>
      <c r="H7" s="8" t="n">
        <v>29</v>
      </c>
      <c r="I7" s="8" t="n">
        <v>26.9</v>
      </c>
      <c r="J7" s="8" t="n">
        <v>22.5</v>
      </c>
      <c r="K7" s="8" t="n">
        <v>17.6</v>
      </c>
      <c r="L7" s="8" t="n">
        <v>13.2</v>
      </c>
      <c r="M7" s="8" t="n">
        <v>11</v>
      </c>
      <c r="N7" s="9">
        <f>AVERAGE(B7:M7)</f>
        <v/>
      </c>
    </row>
    <row r="8">
      <c r="A8" s="7" t="inlineStr">
        <is>
          <t>Srednja minimalna</t>
        </is>
      </c>
      <c r="B8" s="8" t="n">
        <v>-3.2</v>
      </c>
      <c r="C8" s="8" t="n">
        <v>-2.8</v>
      </c>
      <c r="D8" s="8" t="n">
        <v>4.7</v>
      </c>
      <c r="E8" s="8" t="n">
        <v>5.7</v>
      </c>
      <c r="F8" s="8" t="n">
        <v>9.4</v>
      </c>
      <c r="G8" s="8" t="n">
        <v>12.4</v>
      </c>
      <c r="H8" s="8" t="n">
        <v>15.9</v>
      </c>
      <c r="I8" s="8" t="n">
        <v>14.8</v>
      </c>
      <c r="J8" s="8" t="n">
        <v>10.3</v>
      </c>
      <c r="K8" s="8" t="n">
        <v>5.2</v>
      </c>
      <c r="L8" s="8" t="n">
        <v>4.4</v>
      </c>
      <c r="M8" s="8" t="n">
        <v>3.8</v>
      </c>
      <c r="N8" s="9">
        <f>AVERAGE(B8:M8)</f>
        <v/>
      </c>
    </row>
    <row r="9">
      <c r="A9" s="7" t="inlineStr">
        <is>
          <t>Apsolutni maksimum</t>
        </is>
      </c>
      <c r="B9" s="8" t="n">
        <v>12.7</v>
      </c>
      <c r="C9" s="8" t="n">
        <v>17.3</v>
      </c>
      <c r="D9" s="8" t="n">
        <v>19.2</v>
      </c>
      <c r="E9" s="8" t="n">
        <v>21.4</v>
      </c>
      <c r="F9" s="8" t="n">
        <v>24.7</v>
      </c>
      <c r="G9" s="8" t="n">
        <v>29.4</v>
      </c>
      <c r="H9" s="8" t="n">
        <v>32.5</v>
      </c>
      <c r="I9" s="8" t="n">
        <v>31.3</v>
      </c>
      <c r="J9" s="8" t="n">
        <v>25.6</v>
      </c>
      <c r="K9" s="8" t="n">
        <v>20.7</v>
      </c>
      <c r="L9" s="8" t="n">
        <v>16.8</v>
      </c>
      <c r="M9" s="8" t="n">
        <v>14.8</v>
      </c>
      <c r="N9" s="9">
        <f>MAX(B9:M9)</f>
        <v/>
      </c>
    </row>
    <row r="10">
      <c r="A10" s="7" t="inlineStr">
        <is>
          <t>Apsolutni minimum</t>
        </is>
      </c>
      <c r="B10" s="8" t="n">
        <v>-15.4</v>
      </c>
      <c r="C10" s="8" t="n">
        <v>-5.9</v>
      </c>
      <c r="D10" s="8" t="n">
        <v>-0.4</v>
      </c>
      <c r="E10" s="8" t="n">
        <v>1.3</v>
      </c>
      <c r="F10" s="8" t="n">
        <v>4.8</v>
      </c>
      <c r="G10" s="8" t="n">
        <v>8.1</v>
      </c>
      <c r="H10" s="8" t="n">
        <v>10.8</v>
      </c>
      <c r="I10" s="8" t="n">
        <v>12.7</v>
      </c>
      <c r="J10" s="8" t="n">
        <v>4.8</v>
      </c>
      <c r="K10" s="8" t="n">
        <v>1.5</v>
      </c>
      <c r="L10" s="8" t="n">
        <v>-1.9</v>
      </c>
      <c r="M10" s="8" t="n">
        <v>-3.3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26</v>
      </c>
      <c r="D11" s="10" t="n">
        <v>1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14</v>
      </c>
      <c r="I12" s="10" t="n">
        <v>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78.3</v>
      </c>
      <c r="C14" s="8" t="n">
        <v>69.09999999999999</v>
      </c>
      <c r="D14" s="8" t="n">
        <v>80.8</v>
      </c>
      <c r="E14" s="8" t="n">
        <v>74.8</v>
      </c>
      <c r="F14" s="8" t="n">
        <v>77.3</v>
      </c>
      <c r="G14" s="8" t="n">
        <v>75.09999999999999</v>
      </c>
      <c r="H14" s="8" t="n">
        <v>63.1</v>
      </c>
      <c r="I14" s="8" t="n">
        <v>68.3</v>
      </c>
      <c r="J14" s="8" t="n">
        <v>67.8</v>
      </c>
      <c r="K14" s="8" t="n">
        <v>71.59999999999999</v>
      </c>
      <c r="L14" s="8" t="n">
        <v>82.3</v>
      </c>
      <c r="M14" s="8" t="n">
        <v>87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160.4</v>
      </c>
      <c r="C16" s="8" t="n">
        <v>256</v>
      </c>
      <c r="D16" s="8" t="n">
        <v>253.8</v>
      </c>
      <c r="E16" s="8" t="n">
        <v>292.1</v>
      </c>
      <c r="F16" s="8" t="n">
        <v>369.8</v>
      </c>
      <c r="G16" s="8" t="n">
        <v>381.5</v>
      </c>
      <c r="H16" s="8" t="n">
        <v>427.3</v>
      </c>
      <c r="I16" s="8" t="n">
        <v>369.8</v>
      </c>
      <c r="J16" s="8" t="n">
        <v>311.2</v>
      </c>
      <c r="K16" s="8" t="n">
        <v>299.3</v>
      </c>
      <c r="L16" s="8" t="n">
        <v>187.1</v>
      </c>
      <c r="M16" s="8" t="n">
        <v>169.7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21</v>
      </c>
      <c r="D17" s="10" t="n">
        <v>4</v>
      </c>
      <c r="E17" s="10" t="n">
        <v>5</v>
      </c>
      <c r="F17" s="10" t="n">
        <v>2</v>
      </c>
      <c r="G17" s="10" t="n">
        <v>10</v>
      </c>
      <c r="H17" s="10" t="n">
        <v>18</v>
      </c>
      <c r="I17" s="10" t="n">
        <v>11</v>
      </c>
      <c r="J17" s="10" t="n">
        <v>12</v>
      </c>
      <c r="K17" s="10" t="n">
        <v>15</v>
      </c>
      <c r="L17" s="10" t="n">
        <v>2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</v>
      </c>
      <c r="D18" s="10" t="n">
        <v>15</v>
      </c>
      <c r="E18" s="10" t="n">
        <v>7</v>
      </c>
      <c r="F18" s="10" t="n">
        <v>7</v>
      </c>
      <c r="G18" s="10" t="n">
        <v>4</v>
      </c>
      <c r="H18" s="10" t="n">
        <v>1</v>
      </c>
      <c r="I18" s="10" t="n">
        <v>3</v>
      </c>
      <c r="J18" s="10" t="n">
        <v>3</v>
      </c>
      <c r="K18" s="10" t="n">
        <v>4</v>
      </c>
      <c r="L18" s="10" t="n">
        <v>14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206</v>
      </c>
      <c r="C20" s="8" t="n">
        <v>36.4</v>
      </c>
      <c r="D20" s="8" t="n">
        <v>120</v>
      </c>
      <c r="E20" s="8" t="n">
        <v>176</v>
      </c>
      <c r="F20" s="8" t="n">
        <v>152.1</v>
      </c>
      <c r="G20" s="8" t="n">
        <v>83.90000000000001</v>
      </c>
      <c r="H20" s="8" t="n">
        <v>18</v>
      </c>
      <c r="I20" s="8" t="n">
        <v>79.8</v>
      </c>
      <c r="J20" s="8" t="n">
        <v>78.7</v>
      </c>
      <c r="K20" s="8" t="n">
        <v>104.2</v>
      </c>
      <c r="L20" s="8" t="n">
        <v>145.1</v>
      </c>
      <c r="M20" s="8" t="n">
        <v>317.5</v>
      </c>
      <c r="N20" s="9">
        <f>SUM(B20:M20)</f>
        <v/>
      </c>
    </row>
    <row r="21">
      <c r="A21" s="7" t="inlineStr">
        <is>
          <t>Max. dnevna suma</t>
        </is>
      </c>
      <c r="B21" s="8" t="n">
        <v>39.7</v>
      </c>
      <c r="C21" s="8" t="n">
        <v>20.5</v>
      </c>
      <c r="D21" s="8" t="n">
        <v>22.6</v>
      </c>
      <c r="E21" s="8" t="n">
        <v>47.9</v>
      </c>
      <c r="F21" s="8" t="n">
        <v>51</v>
      </c>
      <c r="G21" s="8" t="n">
        <v>16.3</v>
      </c>
      <c r="H21" s="8" t="n">
        <v>4</v>
      </c>
      <c r="I21" s="8" t="n">
        <v>21.4</v>
      </c>
      <c r="J21" s="8" t="n">
        <v>44.5</v>
      </c>
      <c r="K21" s="8" t="n">
        <v>34.2</v>
      </c>
      <c r="L21" s="8" t="n">
        <v>28.2</v>
      </c>
      <c r="M21" s="8" t="n">
        <v>53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18</v>
      </c>
      <c r="C22" s="10" t="n">
        <v>5</v>
      </c>
      <c r="D22" s="10" t="n">
        <v>19</v>
      </c>
      <c r="E22" s="10" t="n">
        <v>18</v>
      </c>
      <c r="F22" s="10" t="n">
        <v>22</v>
      </c>
      <c r="G22" s="10" t="n">
        <v>19</v>
      </c>
      <c r="H22" s="10" t="n">
        <v>17</v>
      </c>
      <c r="I22" s="10" t="n">
        <v>15</v>
      </c>
      <c r="J22" s="10" t="n">
        <v>11</v>
      </c>
      <c r="K22" s="10" t="n">
        <v>10</v>
      </c>
      <c r="L22" s="10" t="n">
        <v>22</v>
      </c>
      <c r="M22" s="10" t="n">
        <v>23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1</v>
      </c>
      <c r="D23" s="10" t="n">
        <v>5</v>
      </c>
      <c r="E23" s="10" t="n">
        <v>6</v>
      </c>
      <c r="F23" s="10" t="n">
        <v>3</v>
      </c>
      <c r="G23" s="10" t="n">
        <v>2</v>
      </c>
      <c r="H23" s="10" t="n">
        <v>0</v>
      </c>
      <c r="I23" s="10" t="n">
        <v>4</v>
      </c>
      <c r="J23" s="10" t="n">
        <v>2</v>
      </c>
      <c r="K23" s="10" t="n">
        <v>3</v>
      </c>
      <c r="L23" s="10" t="n">
        <v>5</v>
      </c>
      <c r="M23" s="10" t="n">
        <v>12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5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5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1960.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1.6</v>
      </c>
      <c r="C6" s="8" t="n">
        <v>5</v>
      </c>
      <c r="D6" s="8" t="n">
        <v>8.300000000000001</v>
      </c>
      <c r="E6" s="8" t="n">
        <v>11.4</v>
      </c>
      <c r="F6" s="8" t="n">
        <v>15.6</v>
      </c>
      <c r="G6" s="8" t="n">
        <v>20.4</v>
      </c>
      <c r="H6" s="8" t="n">
        <v>21.2</v>
      </c>
      <c r="I6" s="8" t="n">
        <v>22.9</v>
      </c>
      <c r="J6" s="8" t="n">
        <v>17.7</v>
      </c>
      <c r="K6" s="8" t="n">
        <v>14.5</v>
      </c>
      <c r="L6" s="8" t="n">
        <v>10.2</v>
      </c>
      <c r="M6" s="8" t="n">
        <v>7.2</v>
      </c>
      <c r="N6" s="9">
        <f>AVERAGE(B6:M6)</f>
        <v/>
      </c>
    </row>
    <row r="7">
      <c r="A7" s="7" t="inlineStr">
        <is>
          <t>Srednja maksimalna</t>
        </is>
      </c>
      <c r="B7" s="8" t="n">
        <v>7.2</v>
      </c>
      <c r="C7" s="8" t="n">
        <v>9.4</v>
      </c>
      <c r="D7" s="8" t="n">
        <v>12.8</v>
      </c>
      <c r="E7" s="8" t="n">
        <v>17</v>
      </c>
      <c r="F7" s="8" t="n">
        <v>20.9</v>
      </c>
      <c r="G7" s="8" t="n">
        <v>26</v>
      </c>
      <c r="H7" s="8" t="n">
        <v>26.7</v>
      </c>
      <c r="I7" s="8" t="n">
        <v>29.1</v>
      </c>
      <c r="J7" s="8" t="n">
        <v>22.9</v>
      </c>
      <c r="K7" s="8" t="n">
        <v>18.9</v>
      </c>
      <c r="L7" s="8" t="n">
        <v>14.5</v>
      </c>
      <c r="M7" s="8" t="n">
        <v>10.8</v>
      </c>
      <c r="N7" s="9">
        <f>AVERAGE(B7:M7)</f>
        <v/>
      </c>
    </row>
    <row r="8">
      <c r="A8" s="7" t="inlineStr">
        <is>
          <t>Srednja minimalna</t>
        </is>
      </c>
      <c r="B8" s="8" t="n">
        <v>-3.6</v>
      </c>
      <c r="C8" s="8" t="n">
        <v>0.6</v>
      </c>
      <c r="D8" s="8" t="n">
        <v>3.8</v>
      </c>
      <c r="E8" s="8" t="n">
        <v>5.4</v>
      </c>
      <c r="F8" s="8" t="n">
        <v>9.1</v>
      </c>
      <c r="G8" s="8" t="n">
        <v>13.2</v>
      </c>
      <c r="H8" s="8" t="n">
        <v>14.1</v>
      </c>
      <c r="I8" s="8" t="n">
        <v>15.2</v>
      </c>
      <c r="J8" s="8" t="n">
        <v>12.1</v>
      </c>
      <c r="K8" s="8" t="n">
        <v>9.800000000000001</v>
      </c>
      <c r="L8" s="8" t="n">
        <v>5.5</v>
      </c>
      <c r="M8" s="8" t="n">
        <v>3.9</v>
      </c>
      <c r="N8" s="9">
        <f>AVERAGE(B8:M8)</f>
        <v/>
      </c>
    </row>
    <row r="9">
      <c r="A9" s="7" t="inlineStr">
        <is>
          <t>Apsolutni maksimum</t>
        </is>
      </c>
      <c r="B9" s="8" t="n">
        <v>13.5</v>
      </c>
      <c r="C9" s="8" t="n">
        <v>15.5</v>
      </c>
      <c r="D9" s="8" t="n">
        <v>16.1</v>
      </c>
      <c r="E9" s="8" t="n">
        <v>21</v>
      </c>
      <c r="F9" s="8" t="n">
        <v>25.3</v>
      </c>
      <c r="G9" s="8" t="n">
        <v>28.3</v>
      </c>
      <c r="H9" s="8" t="n">
        <v>32.4</v>
      </c>
      <c r="I9" s="8" t="n">
        <v>35.7</v>
      </c>
      <c r="J9" s="8" t="n">
        <v>28.9</v>
      </c>
      <c r="K9" s="8" t="n">
        <v>25.1</v>
      </c>
      <c r="L9" s="8" t="n">
        <v>19.2</v>
      </c>
      <c r="M9" s="8" t="n">
        <v>15.9</v>
      </c>
      <c r="N9" s="9">
        <f>MAX(B9:M9)</f>
        <v/>
      </c>
    </row>
    <row r="10">
      <c r="A10" s="7" t="inlineStr">
        <is>
          <t>Apsolutni minimum</t>
        </is>
      </c>
      <c r="B10" s="8" t="n">
        <v>-15.7</v>
      </c>
      <c r="C10" s="8" t="n">
        <v>-10.7</v>
      </c>
      <c r="D10" s="8" t="n">
        <v>-2</v>
      </c>
      <c r="E10" s="8" t="n">
        <v>0.8</v>
      </c>
      <c r="F10" s="8" t="n">
        <v>1.5</v>
      </c>
      <c r="G10" s="8" t="n">
        <v>10.4</v>
      </c>
      <c r="H10" s="8" t="n">
        <v>10.3</v>
      </c>
      <c r="I10" s="8" t="n">
        <v>12</v>
      </c>
      <c r="J10" s="8" t="n">
        <v>5.7</v>
      </c>
      <c r="K10" s="8" t="n">
        <v>2.7</v>
      </c>
      <c r="L10" s="8" t="n">
        <v>-1.1</v>
      </c>
      <c r="M10" s="8" t="n">
        <v>-3.8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11</v>
      </c>
      <c r="D11" s="10" t="n">
        <v>6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4</v>
      </c>
      <c r="I12" s="10" t="n">
        <v>9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81.09999999999999</v>
      </c>
      <c r="C14" s="8" t="n">
        <v>78.8</v>
      </c>
      <c r="D14" s="8" t="n">
        <v>79</v>
      </c>
      <c r="E14" s="8" t="n">
        <v>76</v>
      </c>
      <c r="F14" s="8" t="n">
        <v>70.5</v>
      </c>
      <c r="G14" s="8" t="n">
        <v>60.7</v>
      </c>
      <c r="H14" s="8" t="n">
        <v>64</v>
      </c>
      <c r="I14" s="8" t="n">
        <v>58.8</v>
      </c>
      <c r="J14" s="8" t="n">
        <v>69.40000000000001</v>
      </c>
      <c r="K14" s="8" t="n">
        <v>84</v>
      </c>
      <c r="L14" s="8" t="n">
        <v>84.8</v>
      </c>
      <c r="M14" s="8" t="n">
        <v>86.59999999999999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192.8</v>
      </c>
      <c r="C16" s="8" t="n">
        <v>182</v>
      </c>
      <c r="D16" s="8" t="n">
        <v>240.4</v>
      </c>
      <c r="E16" s="8" t="n">
        <v>345</v>
      </c>
      <c r="F16" s="8" t="n">
        <v>360.4</v>
      </c>
      <c r="G16" s="8" t="n">
        <v>413.9</v>
      </c>
      <c r="H16" s="8" t="n">
        <v>416.8</v>
      </c>
      <c r="I16" s="8" t="n">
        <v>410</v>
      </c>
      <c r="J16" s="8" t="n">
        <v>303.1</v>
      </c>
      <c r="K16" s="8" t="n">
        <v>248.4</v>
      </c>
      <c r="L16" s="8" t="n">
        <v>191.1</v>
      </c>
      <c r="M16" s="8" t="n">
        <v>150.9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3</v>
      </c>
      <c r="D17" s="10" t="n">
        <v>1</v>
      </c>
      <c r="E17" s="10" t="n">
        <v>7</v>
      </c>
      <c r="F17" s="10" t="n">
        <v>2</v>
      </c>
      <c r="G17" s="10" t="n">
        <v>11</v>
      </c>
      <c r="H17" s="10" t="n">
        <v>16</v>
      </c>
      <c r="I17" s="10" t="n">
        <v>22</v>
      </c>
      <c r="J17" s="10" t="n">
        <v>7</v>
      </c>
      <c r="K17" s="10" t="n">
        <v>2</v>
      </c>
      <c r="L17" s="10" t="n">
        <v>2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15</v>
      </c>
      <c r="C18" s="10" t="n">
        <v>14</v>
      </c>
      <c r="D18" s="10" t="n">
        <v>16</v>
      </c>
      <c r="E18" s="10" t="n">
        <v>8</v>
      </c>
      <c r="F18" s="10" t="n">
        <v>6</v>
      </c>
      <c r="G18" s="10" t="n">
        <v>0</v>
      </c>
      <c r="H18" s="10" t="n">
        <v>1</v>
      </c>
      <c r="I18" s="10" t="n">
        <v>0</v>
      </c>
      <c r="J18" s="10" t="n">
        <v>4</v>
      </c>
      <c r="K18" s="10" t="n">
        <v>6</v>
      </c>
      <c r="L18" s="10" t="n">
        <v>11</v>
      </c>
      <c r="M18" s="10" t="n">
        <v>22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147.8</v>
      </c>
      <c r="C20" s="8" t="n">
        <v>270.2</v>
      </c>
      <c r="D20" s="8" t="n">
        <v>246.8</v>
      </c>
      <c r="E20" s="8" t="n">
        <v>126.7</v>
      </c>
      <c r="F20" s="8" t="n">
        <v>39.2</v>
      </c>
      <c r="G20" s="8" t="n">
        <v>18.5</v>
      </c>
      <c r="H20" s="8" t="n">
        <v>77.40000000000001</v>
      </c>
      <c r="I20" s="8" t="n">
        <v>31.4</v>
      </c>
      <c r="J20" s="8" t="n">
        <v>171.7</v>
      </c>
      <c r="K20" s="8" t="n">
        <v>345.6</v>
      </c>
      <c r="L20" s="8" t="n">
        <v>295</v>
      </c>
      <c r="M20" s="8" t="n">
        <v>307.1</v>
      </c>
      <c r="N20" s="9">
        <f>SUM(B20:M20)</f>
        <v/>
      </c>
    </row>
    <row r="21">
      <c r="A21" s="7" t="inlineStr">
        <is>
          <t>Max. dnevna suma</t>
        </is>
      </c>
      <c r="B21" s="8" t="n">
        <v>38.2</v>
      </c>
      <c r="C21" s="8" t="n">
        <v>39</v>
      </c>
      <c r="D21" s="8" t="n">
        <v>35.5</v>
      </c>
      <c r="E21" s="8" t="n">
        <v>23.1</v>
      </c>
      <c r="F21" s="8" t="n">
        <v>15.6</v>
      </c>
      <c r="G21" s="8" t="n">
        <v>6.6</v>
      </c>
      <c r="H21" s="8" t="n">
        <v>28.5</v>
      </c>
      <c r="I21" s="8" t="n">
        <v>12.2</v>
      </c>
      <c r="J21" s="8" t="n">
        <v>39.7</v>
      </c>
      <c r="K21" s="8" t="n">
        <v>60</v>
      </c>
      <c r="L21" s="8" t="n">
        <v>90.59999999999999</v>
      </c>
      <c r="M21" s="8" t="n">
        <v>52.3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22</v>
      </c>
      <c r="D22" s="10" t="n">
        <v>22</v>
      </c>
      <c r="E22" s="10" t="n">
        <v>22</v>
      </c>
      <c r="F22" s="10" t="n">
        <v>20</v>
      </c>
      <c r="G22" s="10" t="n">
        <v>9</v>
      </c>
      <c r="H22" s="10" t="n">
        <v>9</v>
      </c>
      <c r="I22" s="10" t="n">
        <v>9</v>
      </c>
      <c r="J22" s="10" t="n">
        <v>15</v>
      </c>
      <c r="K22" s="10" t="n">
        <v>23</v>
      </c>
      <c r="L22" s="10" t="n">
        <v>21</v>
      </c>
      <c r="M22" s="10" t="n">
        <v>23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13</v>
      </c>
      <c r="D23" s="10" t="n">
        <v>8</v>
      </c>
      <c r="E23" s="10" t="n">
        <v>4</v>
      </c>
      <c r="F23" s="10" t="n">
        <v>1</v>
      </c>
      <c r="G23" s="10" t="n">
        <v>0</v>
      </c>
      <c r="H23" s="10" t="n">
        <v>2</v>
      </c>
      <c r="I23" s="10" t="n">
        <v>1</v>
      </c>
      <c r="J23" s="10" t="n">
        <v>7</v>
      </c>
      <c r="K23" s="10" t="n">
        <v>11</v>
      </c>
      <c r="L23" s="10" t="n">
        <v>6</v>
      </c>
      <c r="M23" s="10" t="n">
        <v>9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5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5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1961.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</v>
      </c>
      <c r="C6" s="8" t="n">
        <v>4.1</v>
      </c>
      <c r="D6" s="8" t="n">
        <v>8.1</v>
      </c>
      <c r="E6" s="8" t="n">
        <v>13.7</v>
      </c>
      <c r="F6" s="8" t="n">
        <v>15</v>
      </c>
      <c r="G6" s="8" t="n">
        <v>20</v>
      </c>
      <c r="H6" s="8" t="n">
        <v>22</v>
      </c>
      <c r="I6" s="8" t="n">
        <v>23</v>
      </c>
      <c r="J6" s="8" t="n">
        <v>20.3</v>
      </c>
      <c r="K6" s="8" t="n">
        <v>14.2</v>
      </c>
      <c r="L6" s="8" t="n">
        <v>9.6</v>
      </c>
      <c r="M6" s="8" t="n">
        <v>4.3</v>
      </c>
      <c r="N6" s="9">
        <f>AVERAGE(B6:M6)</f>
        <v/>
      </c>
    </row>
    <row r="7">
      <c r="A7" s="7" t="inlineStr">
        <is>
          <t>Srednja maksimalna</t>
        </is>
      </c>
      <c r="B7" s="8" t="n">
        <v>7.8</v>
      </c>
      <c r="C7" s="8" t="n">
        <v>10.9</v>
      </c>
      <c r="D7" s="8" t="n">
        <v>14.8</v>
      </c>
      <c r="E7" s="8" t="n">
        <v>19.1</v>
      </c>
      <c r="F7" s="8" t="n">
        <v>20.2</v>
      </c>
      <c r="G7" s="8" t="n">
        <v>25.3</v>
      </c>
      <c r="H7" s="8" t="n">
        <v>27.8</v>
      </c>
      <c r="I7" s="8" t="n">
        <v>29.7</v>
      </c>
      <c r="J7" s="8" t="n">
        <v>27.6</v>
      </c>
      <c r="K7" s="8" t="n">
        <v>19.8</v>
      </c>
      <c r="L7" s="8" t="n">
        <v>13.7</v>
      </c>
      <c r="M7" s="8" t="n">
        <v>8.4</v>
      </c>
      <c r="N7" s="9">
        <f>AVERAGE(B7:M7)</f>
        <v/>
      </c>
    </row>
    <row r="8">
      <c r="A8" s="7" t="inlineStr">
        <is>
          <t>Srednja minimalna</t>
        </is>
      </c>
      <c r="B8" s="8" t="n">
        <v>-1.1</v>
      </c>
      <c r="C8" s="8" t="n">
        <v>-2.3</v>
      </c>
      <c r="D8" s="8" t="n">
        <v>1.2</v>
      </c>
      <c r="E8" s="8" t="n">
        <v>7.4</v>
      </c>
      <c r="F8" s="8" t="n">
        <v>8.699999999999999</v>
      </c>
      <c r="G8" s="8" t="n">
        <v>13.4</v>
      </c>
      <c r="H8" s="8" t="n">
        <v>14.8</v>
      </c>
      <c r="I8" s="8" t="n">
        <v>14.8</v>
      </c>
      <c r="J8" s="8" t="n">
        <v>12.4</v>
      </c>
      <c r="K8" s="8" t="n">
        <v>8.6</v>
      </c>
      <c r="L8" s="8" t="n">
        <v>5.6</v>
      </c>
      <c r="M8" s="8" t="n">
        <v>0.5</v>
      </c>
      <c r="N8" s="9">
        <f>AVERAGE(B8:M8)</f>
        <v/>
      </c>
    </row>
    <row r="9">
      <c r="A9" s="7" t="inlineStr">
        <is>
          <t>Apsolutni maksimum</t>
        </is>
      </c>
      <c r="B9" s="8" t="n">
        <v>11.4</v>
      </c>
      <c r="C9" s="8" t="n">
        <v>15.2</v>
      </c>
      <c r="D9" s="8" t="n">
        <v>20.2</v>
      </c>
      <c r="E9" s="8" t="n">
        <v>24.5</v>
      </c>
      <c r="F9" s="8" t="n">
        <v>24.2</v>
      </c>
      <c r="G9" s="8" t="n">
        <v>31.4</v>
      </c>
      <c r="H9" s="8" t="n">
        <v>30.7</v>
      </c>
      <c r="I9" s="8" t="n">
        <v>35.3</v>
      </c>
      <c r="J9" s="8" t="n">
        <v>32.9</v>
      </c>
      <c r="K9" s="8" t="n">
        <v>25.9</v>
      </c>
      <c r="L9" s="8" t="n">
        <v>19</v>
      </c>
      <c r="M9" s="8" t="n">
        <v>15.5</v>
      </c>
      <c r="N9" s="9">
        <f>MAX(B9:M9)</f>
        <v/>
      </c>
    </row>
    <row r="10">
      <c r="A10" s="7" t="inlineStr">
        <is>
          <t>Apsolutni minimum</t>
        </is>
      </c>
      <c r="B10" s="8" t="n">
        <v>-7.5</v>
      </c>
      <c r="C10" s="8" t="n">
        <v>-5.3</v>
      </c>
      <c r="D10" s="8" t="n">
        <v>-2.4</v>
      </c>
      <c r="E10" s="8" t="n">
        <v>3.2</v>
      </c>
      <c r="F10" s="8" t="n">
        <v>3.3</v>
      </c>
      <c r="G10" s="8" t="n">
        <v>8.9</v>
      </c>
      <c r="H10" s="8" t="n">
        <v>10.6</v>
      </c>
      <c r="I10" s="8" t="n">
        <v>9.1</v>
      </c>
      <c r="J10" s="8" t="n">
        <v>9</v>
      </c>
      <c r="K10" s="8" t="n">
        <v>3.5</v>
      </c>
      <c r="L10" s="8" t="n">
        <v>-4.2</v>
      </c>
      <c r="M10" s="8" t="n">
        <v>-7.7</v>
      </c>
      <c r="N10" s="9">
        <f>MIN(B10:M10)</f>
        <v/>
      </c>
    </row>
    <row r="11">
      <c r="A11" s="7" t="inlineStr">
        <is>
          <t>Sr. br. mraznih dana</t>
        </is>
      </c>
      <c r="B11" s="10" t="n">
        <v>20</v>
      </c>
      <c r="C11" s="10" t="n">
        <v>26</v>
      </c>
      <c r="D11" s="10" t="n">
        <v>8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4</v>
      </c>
      <c r="M11" s="10" t="n">
        <v>15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5</v>
      </c>
      <c r="I12" s="10" t="n">
        <v>16</v>
      </c>
      <c r="J12" s="10" t="n">
        <v>5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76.3</v>
      </c>
      <c r="C14" s="8" t="n">
        <v>73</v>
      </c>
      <c r="D14" s="8" t="n">
        <v>69</v>
      </c>
      <c r="E14" s="8" t="n">
        <v>75.2</v>
      </c>
      <c r="F14" s="8" t="n">
        <v>75</v>
      </c>
      <c r="G14" s="8" t="n">
        <v>72</v>
      </c>
      <c r="H14" s="8" t="n">
        <v>61.2</v>
      </c>
      <c r="I14" s="8" t="n">
        <v>55.8</v>
      </c>
      <c r="J14" s="8" t="n">
        <v>59</v>
      </c>
      <c r="K14" s="8" t="n">
        <v>76.09999999999999</v>
      </c>
      <c r="L14" s="8" t="n">
        <v>84.90000000000001</v>
      </c>
      <c r="M14" s="8" t="n">
        <v>75.3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211.1</v>
      </c>
      <c r="C16" s="8" t="n">
        <v>250.5</v>
      </c>
      <c r="D16" s="8" t="n">
        <v>318.1</v>
      </c>
      <c r="E16" s="8" t="n">
        <v>321.4</v>
      </c>
      <c r="F16" s="8" t="n">
        <v>384.3</v>
      </c>
      <c r="G16" s="8" t="n">
        <v>402.8</v>
      </c>
      <c r="H16" s="8" t="n">
        <v>428.1</v>
      </c>
      <c r="I16" s="8" t="n">
        <v>408.5</v>
      </c>
      <c r="J16" s="8" t="n">
        <v>350.2</v>
      </c>
      <c r="K16" s="8" t="n">
        <v>277</v>
      </c>
      <c r="L16" s="8" t="n">
        <v>150</v>
      </c>
      <c r="M16" s="8" t="n">
        <v>190.5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10</v>
      </c>
      <c r="D17" s="10" t="n">
        <v>19</v>
      </c>
      <c r="E17" s="10" t="n">
        <v>8</v>
      </c>
      <c r="F17" s="10" t="n">
        <v>4</v>
      </c>
      <c r="G17" s="10" t="n">
        <v>10</v>
      </c>
      <c r="H17" s="10" t="n">
        <v>12</v>
      </c>
      <c r="I17" s="10" t="n">
        <v>27</v>
      </c>
      <c r="J17" s="10" t="n">
        <v>23</v>
      </c>
      <c r="K17" s="10" t="n">
        <v>11</v>
      </c>
      <c r="L17" s="10" t="n">
        <v>6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3</v>
      </c>
      <c r="D18" s="10" t="n">
        <v>5</v>
      </c>
      <c r="E18" s="10" t="n">
        <v>8</v>
      </c>
      <c r="F18" s="10" t="n">
        <v>6</v>
      </c>
      <c r="G18" s="10" t="n">
        <v>2</v>
      </c>
      <c r="H18" s="10" t="n">
        <v>0</v>
      </c>
      <c r="I18" s="10" t="n">
        <v>0</v>
      </c>
      <c r="J18" s="10" t="n">
        <v>0</v>
      </c>
      <c r="K18" s="10" t="n">
        <v>9</v>
      </c>
      <c r="L18" s="10" t="n">
        <v>16</v>
      </c>
      <c r="M18" s="10" t="n">
        <v>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136.2</v>
      </c>
      <c r="C20" s="8" t="n">
        <v>43.4</v>
      </c>
      <c r="D20" s="8" t="n">
        <v>56.7</v>
      </c>
      <c r="E20" s="8" t="n">
        <v>169.4</v>
      </c>
      <c r="F20" s="8" t="n">
        <v>126.3</v>
      </c>
      <c r="G20" s="8" t="n">
        <v>93.2</v>
      </c>
      <c r="H20" s="8" t="n">
        <v>51.1</v>
      </c>
      <c r="I20" s="8" t="n">
        <v>15.5</v>
      </c>
      <c r="J20" s="8" t="n">
        <v>7</v>
      </c>
      <c r="K20" s="8" t="n">
        <v>367.1</v>
      </c>
      <c r="L20" s="8" t="n">
        <v>273.4</v>
      </c>
      <c r="M20" s="8" t="n">
        <v>89.90000000000001</v>
      </c>
      <c r="N20" s="9">
        <f>SUM(B20:M20)</f>
        <v/>
      </c>
    </row>
    <row r="21">
      <c r="A21" s="7" t="inlineStr">
        <is>
          <t>Max. dnevna suma</t>
        </is>
      </c>
      <c r="B21" s="8" t="n">
        <v>22.8</v>
      </c>
      <c r="C21" s="8" t="n">
        <v>19.7</v>
      </c>
      <c r="D21" s="8" t="n">
        <v>18.5</v>
      </c>
      <c r="E21" s="8" t="n">
        <v>44.8</v>
      </c>
      <c r="F21" s="8" t="n">
        <v>19.4</v>
      </c>
      <c r="G21" s="8" t="n">
        <v>28.1</v>
      </c>
      <c r="H21" s="8" t="n">
        <v>18.6</v>
      </c>
      <c r="I21" s="8" t="n">
        <v>14.5</v>
      </c>
      <c r="J21" s="8" t="n">
        <v>5.3</v>
      </c>
      <c r="K21" s="8" t="n">
        <v>91.09999999999999</v>
      </c>
      <c r="L21" s="8" t="n">
        <v>46.4</v>
      </c>
      <c r="M21" s="8" t="n">
        <v>29.3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8</v>
      </c>
      <c r="D22" s="10" t="n">
        <v>8</v>
      </c>
      <c r="E22" s="10" t="n">
        <v>22</v>
      </c>
      <c r="F22" s="10" t="n">
        <v>21</v>
      </c>
      <c r="G22" s="10" t="n">
        <v>18</v>
      </c>
      <c r="H22" s="10" t="n">
        <v>13</v>
      </c>
      <c r="I22" s="10" t="n">
        <v>6</v>
      </c>
      <c r="J22" s="10" t="n">
        <v>3</v>
      </c>
      <c r="K22" s="10" t="n">
        <v>13</v>
      </c>
      <c r="L22" s="10" t="n">
        <v>21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2</v>
      </c>
      <c r="D23" s="10" t="n">
        <v>2</v>
      </c>
      <c r="E23" s="10" t="n">
        <v>5</v>
      </c>
      <c r="F23" s="10" t="n">
        <v>6</v>
      </c>
      <c r="G23" s="10" t="n">
        <v>4</v>
      </c>
      <c r="H23" s="10" t="n">
        <v>2</v>
      </c>
      <c r="I23" s="10" t="n">
        <v>1</v>
      </c>
      <c r="J23" s="10" t="n">
        <v>0</v>
      </c>
      <c r="K23" s="10" t="n">
        <v>6</v>
      </c>
      <c r="L23" s="10" t="n">
        <v>8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4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4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1962.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4.5</v>
      </c>
      <c r="C6" s="8" t="n">
        <v>2.7</v>
      </c>
      <c r="D6" s="8" t="n">
        <v>5.1</v>
      </c>
      <c r="E6" s="8" t="n">
        <v>11.7</v>
      </c>
      <c r="F6" s="8" t="n">
        <v>16.2</v>
      </c>
      <c r="G6" s="8" t="n">
        <v>20</v>
      </c>
      <c r="H6" s="8" t="n">
        <v>23.2</v>
      </c>
      <c r="I6" s="8" t="n">
        <v>25.9</v>
      </c>
      <c r="J6" s="8" t="n">
        <v>19.5</v>
      </c>
      <c r="K6" s="8" t="n">
        <v>14</v>
      </c>
      <c r="L6" s="8" t="n">
        <v>9.6</v>
      </c>
      <c r="M6" s="8" t="n">
        <v>1.3</v>
      </c>
      <c r="N6" s="9">
        <f>AVERAGE(B6:M6)</f>
        <v/>
      </c>
    </row>
    <row r="7">
      <c r="A7" s="7" t="inlineStr">
        <is>
          <t>Srednja maksimalna</t>
        </is>
      </c>
      <c r="B7" s="8" t="n">
        <v>9.4</v>
      </c>
      <c r="C7" s="8" t="n">
        <v>8</v>
      </c>
      <c r="D7" s="8" t="n">
        <v>9.199999999999999</v>
      </c>
      <c r="E7" s="8" t="n">
        <v>17.5</v>
      </c>
      <c r="F7" s="8" t="n">
        <v>21.7</v>
      </c>
      <c r="G7" s="8" t="n">
        <v>25.6</v>
      </c>
      <c r="H7" s="8" t="n">
        <v>29.2</v>
      </c>
      <c r="I7" s="8" t="n">
        <v>32.7</v>
      </c>
      <c r="J7" s="8" t="n">
        <v>25.4</v>
      </c>
      <c r="K7" s="8" t="n">
        <v>19.9</v>
      </c>
      <c r="L7" s="8" t="n">
        <v>13</v>
      </c>
      <c r="M7" s="8" t="n">
        <v>5.9</v>
      </c>
      <c r="N7" s="9">
        <f>AVERAGE(B7:M7)</f>
        <v/>
      </c>
    </row>
    <row r="8">
      <c r="A8" s="7" t="inlineStr">
        <is>
          <t>Srednja minimalna</t>
        </is>
      </c>
      <c r="B8" s="8" t="n">
        <v>0.3</v>
      </c>
      <c r="C8" s="8" t="n">
        <v>-1.9</v>
      </c>
      <c r="D8" s="8" t="n">
        <v>0.5</v>
      </c>
      <c r="E8" s="8" t="n">
        <v>5.1</v>
      </c>
      <c r="F8" s="8" t="n">
        <v>9.1</v>
      </c>
      <c r="G8" s="8" t="n">
        <v>13.4</v>
      </c>
      <c r="H8" s="8" t="n">
        <v>15.8</v>
      </c>
      <c r="I8" s="8" t="n">
        <v>17.4</v>
      </c>
      <c r="J8" s="8" t="n">
        <v>13.1</v>
      </c>
      <c r="K8" s="8" t="n">
        <v>8.6</v>
      </c>
      <c r="L8" s="8" t="n">
        <v>6.2</v>
      </c>
      <c r="M8" s="8" t="n">
        <v>-2.4</v>
      </c>
      <c r="N8" s="9">
        <f>AVERAGE(B8:M8)</f>
        <v/>
      </c>
    </row>
    <row r="9">
      <c r="A9" s="7" t="inlineStr">
        <is>
          <t>Apsolutni maksimum</t>
        </is>
      </c>
      <c r="B9" s="8" t="n">
        <v>14.6</v>
      </c>
      <c r="C9" s="8" t="n">
        <v>12.2</v>
      </c>
      <c r="D9" s="8" t="n">
        <v>16.8</v>
      </c>
      <c r="E9" s="8" t="n">
        <v>25.4</v>
      </c>
      <c r="F9" s="8" t="n">
        <v>28.1</v>
      </c>
      <c r="G9" s="8" t="n">
        <v>33.5</v>
      </c>
      <c r="H9" s="8" t="n">
        <v>37</v>
      </c>
      <c r="I9" s="8" t="n">
        <v>35.4</v>
      </c>
      <c r="J9" s="8" t="n">
        <v>33.2</v>
      </c>
      <c r="K9" s="8" t="n">
        <v>25.4</v>
      </c>
      <c r="L9" s="8" t="n">
        <v>18.4</v>
      </c>
      <c r="M9" s="8" t="n">
        <v>11.2</v>
      </c>
      <c r="N9" s="9">
        <f>MAX(B9:M9)</f>
        <v/>
      </c>
    </row>
    <row r="10">
      <c r="A10" s="7" t="inlineStr">
        <is>
          <t>Apsolutni minimum</t>
        </is>
      </c>
      <c r="B10" s="8" t="n">
        <v>-4.4</v>
      </c>
      <c r="C10" s="8" t="n">
        <v>-6.6</v>
      </c>
      <c r="D10" s="8" t="n">
        <v>-16.3</v>
      </c>
      <c r="E10" s="8" t="n">
        <v>-1.3</v>
      </c>
      <c r="F10" s="8" t="n">
        <v>1.6</v>
      </c>
      <c r="G10" s="8" t="n">
        <v>5.3</v>
      </c>
      <c r="H10" s="8" t="n">
        <v>9.9</v>
      </c>
      <c r="I10" s="8" t="n">
        <v>13.8</v>
      </c>
      <c r="J10" s="8" t="n">
        <v>8.199999999999999</v>
      </c>
      <c r="K10" s="8" t="n">
        <v>4.4</v>
      </c>
      <c r="L10" s="8" t="n">
        <v>-3.7</v>
      </c>
      <c r="M10" s="8" t="n">
        <v>-8.199999999999999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21</v>
      </c>
      <c r="D11" s="10" t="n">
        <v>12</v>
      </c>
      <c r="E11" s="10" t="n">
        <v>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24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14</v>
      </c>
      <c r="I12" s="10" t="n">
        <v>30</v>
      </c>
      <c r="J12" s="10" t="n">
        <v>8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76.7</v>
      </c>
      <c r="C14" s="8" t="n">
        <v>70.09999999999999</v>
      </c>
      <c r="D14" s="8" t="n">
        <v>79.8</v>
      </c>
      <c r="E14" s="8" t="n">
        <v>75.5</v>
      </c>
      <c r="F14" s="8" t="n">
        <v>68.09999999999999</v>
      </c>
      <c r="G14" s="8" t="n">
        <v>61</v>
      </c>
      <c r="H14" s="8" t="n">
        <v>59.3</v>
      </c>
      <c r="I14" s="8" t="n">
        <v>48.9</v>
      </c>
      <c r="J14" s="8" t="n">
        <v>60.5</v>
      </c>
      <c r="K14" s="8" t="n">
        <v>74.2</v>
      </c>
      <c r="L14" s="8" t="n">
        <v>85.40000000000001</v>
      </c>
      <c r="M14" s="8" t="n">
        <v>74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196.7</v>
      </c>
      <c r="C16" s="8" t="n">
        <v>225.6</v>
      </c>
      <c r="D16" s="8" t="n">
        <v>182.4</v>
      </c>
      <c r="E16" s="8" t="n">
        <v>327.2</v>
      </c>
      <c r="F16" s="8" t="n">
        <v>405.8</v>
      </c>
      <c r="G16" s="8" t="n">
        <v>398.9</v>
      </c>
      <c r="H16" s="8" t="n">
        <v>420.2</v>
      </c>
      <c r="I16" s="8" t="n">
        <v>410.7</v>
      </c>
      <c r="J16" s="8" t="n">
        <v>322.7</v>
      </c>
      <c r="K16" s="8" t="n">
        <v>286.5</v>
      </c>
      <c r="L16" s="8" t="n">
        <v>151.1</v>
      </c>
      <c r="M16" s="8" t="n">
        <v>187.5</v>
      </c>
      <c r="N16" s="9">
        <f>SUM(B16:M16)</f>
        <v/>
      </c>
    </row>
    <row r="17">
      <c r="A17" s="7" t="inlineStr">
        <is>
          <t>Broj vedrih dana</t>
        </is>
      </c>
      <c r="B17" s="10" t="n">
        <v>8</v>
      </c>
      <c r="C17" s="10" t="n">
        <v>9</v>
      </c>
      <c r="D17" s="10" t="n">
        <v>1</v>
      </c>
      <c r="E17" s="10" t="n">
        <v>7</v>
      </c>
      <c r="F17" s="10" t="n">
        <v>10</v>
      </c>
      <c r="G17" s="10" t="n">
        <v>7</v>
      </c>
      <c r="H17" s="10" t="n">
        <v>18</v>
      </c>
      <c r="I17" s="10" t="n">
        <v>26</v>
      </c>
      <c r="J17" s="10" t="n">
        <v>17</v>
      </c>
      <c r="K17" s="10" t="n">
        <v>14</v>
      </c>
      <c r="L17" s="10" t="n">
        <v>2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10</v>
      </c>
      <c r="D18" s="10" t="n">
        <v>19</v>
      </c>
      <c r="E18" s="10" t="n">
        <v>4</v>
      </c>
      <c r="F18" s="10" t="n">
        <v>2</v>
      </c>
      <c r="G18" s="10" t="n">
        <v>3</v>
      </c>
      <c r="H18" s="10" t="n">
        <v>1</v>
      </c>
      <c r="I18" s="10" t="n">
        <v>0</v>
      </c>
      <c r="J18" s="10" t="n">
        <v>3</v>
      </c>
      <c r="K18" s="10" t="n">
        <v>6</v>
      </c>
      <c r="L18" s="10" t="n">
        <v>18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72.2</v>
      </c>
      <c r="C20" s="8" t="n">
        <v>93.09999999999999</v>
      </c>
      <c r="D20" s="8" t="n">
        <v>348.6</v>
      </c>
      <c r="E20" s="8" t="n">
        <v>174.8</v>
      </c>
      <c r="F20" s="8" t="n">
        <v>18.6</v>
      </c>
      <c r="G20" s="8" t="n">
        <v>31.3</v>
      </c>
      <c r="H20" s="8" t="n">
        <v>43.2</v>
      </c>
      <c r="I20" s="8" t="n">
        <v>7.1</v>
      </c>
      <c r="J20" s="8" t="n">
        <v>105.5</v>
      </c>
      <c r="K20" s="8" t="n">
        <v>115.4</v>
      </c>
      <c r="L20" s="8" t="n">
        <v>426.5</v>
      </c>
      <c r="M20" s="8" t="n">
        <v>184.2</v>
      </c>
      <c r="N20" s="9">
        <f>SUM(B20:M20)</f>
        <v/>
      </c>
    </row>
    <row r="21">
      <c r="A21" s="7" t="inlineStr">
        <is>
          <t>Max. dnevna suma</t>
        </is>
      </c>
      <c r="B21" s="8" t="n">
        <v>20.8</v>
      </c>
      <c r="C21" s="8" t="n">
        <v>42.9</v>
      </c>
      <c r="D21" s="8" t="n">
        <v>40.5</v>
      </c>
      <c r="E21" s="8" t="n">
        <v>43.5</v>
      </c>
      <c r="F21" s="8" t="n">
        <v>4.6</v>
      </c>
      <c r="G21" s="8" t="n">
        <v>9.199999999999999</v>
      </c>
      <c r="H21" s="8" t="n">
        <v>20.6</v>
      </c>
      <c r="I21" s="8" t="n">
        <v>4</v>
      </c>
      <c r="J21" s="8" t="n">
        <v>31.6</v>
      </c>
      <c r="K21" s="8" t="n">
        <v>61.3</v>
      </c>
      <c r="L21" s="8" t="n">
        <v>65.59999999999999</v>
      </c>
      <c r="M21" s="8" t="n">
        <v>50.6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15</v>
      </c>
      <c r="D22" s="10" t="n">
        <v>24</v>
      </c>
      <c r="E22" s="10" t="n">
        <v>17</v>
      </c>
      <c r="F22" s="10" t="n">
        <v>15</v>
      </c>
      <c r="G22" s="10" t="n">
        <v>19</v>
      </c>
      <c r="H22" s="10" t="n">
        <v>12</v>
      </c>
      <c r="I22" s="10" t="n">
        <v>6</v>
      </c>
      <c r="J22" s="10" t="n">
        <v>13</v>
      </c>
      <c r="K22" s="10" t="n">
        <v>9</v>
      </c>
      <c r="L22" s="10" t="n">
        <v>26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3</v>
      </c>
      <c r="D23" s="10" t="n">
        <v>15</v>
      </c>
      <c r="E23" s="10" t="n">
        <v>6</v>
      </c>
      <c r="F23" s="10" t="n">
        <v>0</v>
      </c>
      <c r="G23" s="10" t="n">
        <v>0</v>
      </c>
      <c r="H23" s="10" t="n">
        <v>1</v>
      </c>
      <c r="I23" s="10" t="n">
        <v>0</v>
      </c>
      <c r="J23" s="10" t="n">
        <v>4</v>
      </c>
      <c r="K23" s="10" t="n">
        <v>3</v>
      </c>
      <c r="L23" s="10" t="n">
        <v>15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2</v>
      </c>
      <c r="C25" s="10" t="n">
        <v>3</v>
      </c>
      <c r="D25" s="10" t="n">
        <v>3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6</v>
      </c>
      <c r="N25" s="11">
        <f>SUM(B25:M25)</f>
        <v/>
      </c>
    </row>
    <row r="26">
      <c r="A26" s="7" t="inlineStr">
        <is>
          <t>snežnim pokrivačem</t>
        </is>
      </c>
      <c r="B26" s="10" t="n">
        <v>2</v>
      </c>
      <c r="C26" s="10" t="n">
        <v>3</v>
      </c>
      <c r="D26" s="10" t="n">
        <v>3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6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1963.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-1.1</v>
      </c>
      <c r="C6" s="8" t="n">
        <v>2.7</v>
      </c>
      <c r="D6" s="8" t="n">
        <v>5.6</v>
      </c>
      <c r="E6" s="8" t="n">
        <v>11.6</v>
      </c>
      <c r="F6" s="8" t="n">
        <v>16</v>
      </c>
      <c r="G6" s="8" t="n">
        <v>20.2</v>
      </c>
      <c r="H6" s="8" t="n">
        <v>23.5</v>
      </c>
      <c r="I6" s="8" t="n">
        <v>22.6</v>
      </c>
      <c r="J6" s="8" t="n">
        <v>18.8</v>
      </c>
      <c r="K6" s="8" t="n">
        <v>12.3</v>
      </c>
      <c r="L6" s="8" t="n">
        <v>11.2</v>
      </c>
      <c r="M6" s="8" t="n">
        <v>4.3</v>
      </c>
      <c r="N6" s="9">
        <f>AVERAGE(B6:M6)</f>
        <v/>
      </c>
    </row>
    <row r="7">
      <c r="A7" s="7" t="inlineStr">
        <is>
          <t>Srednja maksimalna</t>
        </is>
      </c>
      <c r="B7" s="8" t="n">
        <v>3.4</v>
      </c>
      <c r="C7" s="8" t="n">
        <v>7.6</v>
      </c>
      <c r="D7" s="8" t="n">
        <v>11.1</v>
      </c>
      <c r="E7" s="8" t="n">
        <v>17.2</v>
      </c>
      <c r="F7" s="8" t="n">
        <v>21.7</v>
      </c>
      <c r="G7" s="8" t="n">
        <v>25.2</v>
      </c>
      <c r="H7" s="8" t="n">
        <v>29.5</v>
      </c>
      <c r="I7" s="8" t="n">
        <v>28.3</v>
      </c>
      <c r="J7" s="8" t="n">
        <v>24.5</v>
      </c>
      <c r="K7" s="8" t="n">
        <v>18</v>
      </c>
      <c r="L7" s="8" t="n">
        <v>15.2</v>
      </c>
      <c r="M7" s="8" t="n">
        <v>9.300000000000001</v>
      </c>
      <c r="N7" s="9">
        <f>AVERAGE(B7:M7)</f>
        <v/>
      </c>
    </row>
    <row r="8">
      <c r="A8" s="7" t="inlineStr">
        <is>
          <t>Srednja minimalna</t>
        </is>
      </c>
      <c r="B8" s="8" t="n">
        <v>-5</v>
      </c>
      <c r="C8" s="8" t="n">
        <v>-1.9</v>
      </c>
      <c r="D8" s="8" t="n">
        <v>0.1</v>
      </c>
      <c r="E8" s="8" t="n">
        <v>4.9</v>
      </c>
      <c r="F8" s="8" t="n">
        <v>9.300000000000001</v>
      </c>
      <c r="G8" s="8" t="n">
        <v>13.5</v>
      </c>
      <c r="H8" s="8" t="n">
        <v>16.7</v>
      </c>
      <c r="I8" s="8" t="n">
        <v>15.9</v>
      </c>
      <c r="J8" s="8" t="n">
        <v>13</v>
      </c>
      <c r="K8" s="8" t="n">
        <v>7.2</v>
      </c>
      <c r="L8" s="8" t="n">
        <v>7.4</v>
      </c>
      <c r="M8" s="8" t="n">
        <v>0.5</v>
      </c>
      <c r="N8" s="9">
        <f>AVERAGE(B8:M8)</f>
        <v/>
      </c>
    </row>
    <row r="9">
      <c r="A9" s="7" t="inlineStr">
        <is>
          <t>Apsolutni maksimum</t>
        </is>
      </c>
      <c r="B9" s="8" t="n">
        <v>12.1</v>
      </c>
      <c r="C9" s="8" t="n">
        <v>10.7</v>
      </c>
      <c r="D9" s="8" t="n">
        <v>16.4</v>
      </c>
      <c r="E9" s="8" t="n">
        <v>22.8</v>
      </c>
      <c r="F9" s="8" t="n">
        <v>27</v>
      </c>
      <c r="G9" s="8" t="n">
        <v>33.3</v>
      </c>
      <c r="H9" s="8" t="n">
        <v>34</v>
      </c>
      <c r="I9" s="8" t="n">
        <v>32.8</v>
      </c>
      <c r="J9" s="8" t="n">
        <v>28.9</v>
      </c>
      <c r="K9" s="8" t="n">
        <v>21.6</v>
      </c>
      <c r="L9" s="8" t="n">
        <v>18.6</v>
      </c>
      <c r="M9" s="8" t="n">
        <v>13.5</v>
      </c>
      <c r="N9" s="9">
        <f>MAX(B9:M9)</f>
        <v/>
      </c>
    </row>
    <row r="10">
      <c r="A10" s="7" t="inlineStr">
        <is>
          <t>Apsolutni minimum</t>
        </is>
      </c>
      <c r="B10" s="8" t="n">
        <v>-18.5</v>
      </c>
      <c r="C10" s="8" t="n">
        <v>-9.699999999999999</v>
      </c>
      <c r="D10" s="8" t="n">
        <v>-8.9</v>
      </c>
      <c r="E10" s="8" t="n">
        <v>-1.9</v>
      </c>
      <c r="F10" s="8" t="n">
        <v>3.4</v>
      </c>
      <c r="G10" s="8" t="n">
        <v>9.4</v>
      </c>
      <c r="H10" s="8" t="n">
        <v>14.4</v>
      </c>
      <c r="I10" s="8" t="n">
        <v>9.800000000000001</v>
      </c>
      <c r="J10" s="8" t="n">
        <v>5.3</v>
      </c>
      <c r="K10" s="8" t="n">
        <v>1.3</v>
      </c>
      <c r="L10" s="8" t="n">
        <v>-2.1</v>
      </c>
      <c r="M10" s="8" t="n">
        <v>-5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19</v>
      </c>
      <c r="D11" s="10" t="n">
        <v>15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15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14</v>
      </c>
      <c r="I12" s="10" t="n">
        <v>15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75.40000000000001</v>
      </c>
      <c r="C14" s="8" t="n">
        <v>80</v>
      </c>
      <c r="D14" s="8" t="n">
        <v>72.40000000000001</v>
      </c>
      <c r="E14" s="8" t="n">
        <v>74.59999999999999</v>
      </c>
      <c r="F14" s="8" t="n">
        <v>72.7</v>
      </c>
      <c r="G14" s="8" t="n">
        <v>73.90000000000001</v>
      </c>
      <c r="H14" s="8" t="n">
        <v>67.5</v>
      </c>
      <c r="I14" s="8" t="n">
        <v>68.7</v>
      </c>
      <c r="J14" s="8" t="n">
        <v>76.7</v>
      </c>
      <c r="K14" s="8" t="n">
        <v>75.5</v>
      </c>
      <c r="L14" s="8" t="n">
        <v>85.90000000000001</v>
      </c>
      <c r="M14" s="8" t="n">
        <v>81.40000000000001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176.8</v>
      </c>
      <c r="C16" s="8" t="n">
        <v>181.8</v>
      </c>
      <c r="D16" s="8" t="n">
        <v>305.1</v>
      </c>
      <c r="E16" s="8" t="n">
        <v>351.6</v>
      </c>
      <c r="F16" s="8" t="n">
        <v>386.1</v>
      </c>
      <c r="G16" s="8" t="n">
        <v>396.8</v>
      </c>
      <c r="H16" s="8" t="n">
        <v>414.1</v>
      </c>
      <c r="I16" s="8" t="n">
        <v>387.9</v>
      </c>
      <c r="J16" s="8" t="n">
        <v>320.2</v>
      </c>
      <c r="K16" s="8" t="n">
        <v>287.3</v>
      </c>
      <c r="L16" s="8" t="n">
        <v>174.1</v>
      </c>
      <c r="M16" s="8" t="n">
        <v>164.8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3</v>
      </c>
      <c r="D17" s="10" t="n">
        <v>4</v>
      </c>
      <c r="E17" s="10" t="n">
        <v>4</v>
      </c>
      <c r="F17" s="10" t="n">
        <v>6</v>
      </c>
      <c r="G17" s="10" t="n">
        <v>9</v>
      </c>
      <c r="H17" s="10" t="n">
        <v>13</v>
      </c>
      <c r="I17" s="10" t="n">
        <v>19</v>
      </c>
      <c r="J17" s="10" t="n">
        <v>12</v>
      </c>
      <c r="K17" s="10" t="n">
        <v>16</v>
      </c>
      <c r="L17" s="10" t="n">
        <v>2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15</v>
      </c>
      <c r="D18" s="10" t="n">
        <v>11</v>
      </c>
      <c r="E18" s="10" t="n">
        <v>5</v>
      </c>
      <c r="F18" s="10" t="n">
        <v>3</v>
      </c>
      <c r="G18" s="10" t="n">
        <v>3</v>
      </c>
      <c r="H18" s="10" t="n">
        <v>3</v>
      </c>
      <c r="I18" s="10" t="n">
        <v>2</v>
      </c>
      <c r="J18" s="10" t="n">
        <v>5</v>
      </c>
      <c r="K18" s="10" t="n">
        <v>8</v>
      </c>
      <c r="L18" s="10" t="n">
        <v>19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254.1</v>
      </c>
      <c r="C20" s="8" t="n">
        <v>277.9</v>
      </c>
      <c r="D20" s="8" t="n">
        <v>89.2</v>
      </c>
      <c r="E20" s="8" t="n">
        <v>70.7</v>
      </c>
      <c r="F20" s="8" t="n">
        <v>81.40000000000001</v>
      </c>
      <c r="G20" s="8" t="n">
        <v>82.40000000000001</v>
      </c>
      <c r="H20" s="8" t="n">
        <v>52</v>
      </c>
      <c r="I20" s="8" t="n">
        <v>134.9</v>
      </c>
      <c r="J20" s="8" t="n">
        <v>115.7</v>
      </c>
      <c r="K20" s="8" t="n">
        <v>141.6</v>
      </c>
      <c r="L20" s="8" t="n">
        <v>209.8</v>
      </c>
      <c r="M20" s="8" t="n">
        <v>237.5</v>
      </c>
      <c r="N20" s="9">
        <f>SUM(B20:M20)</f>
        <v/>
      </c>
    </row>
    <row r="21">
      <c r="A21" s="7" t="inlineStr">
        <is>
          <t>Max. dnevna suma</t>
        </is>
      </c>
      <c r="B21" s="8" t="n">
        <v>24.2</v>
      </c>
      <c r="C21" s="8" t="n">
        <v>46.7</v>
      </c>
      <c r="D21" s="8" t="n">
        <v>14</v>
      </c>
      <c r="E21" s="8" t="n">
        <v>25.8</v>
      </c>
      <c r="F21" s="8" t="n">
        <v>11</v>
      </c>
      <c r="G21" s="8" t="n">
        <v>26.2</v>
      </c>
      <c r="H21" s="8" t="n">
        <v>21</v>
      </c>
      <c r="I21" s="8" t="n">
        <v>30.6</v>
      </c>
      <c r="J21" s="8" t="n">
        <v>42.6</v>
      </c>
      <c r="K21" s="8" t="n">
        <v>97.90000000000001</v>
      </c>
      <c r="L21" s="8" t="n">
        <v>77</v>
      </c>
      <c r="M21" s="8" t="n">
        <v>40.5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17</v>
      </c>
      <c r="C22" s="10" t="n">
        <v>18</v>
      </c>
      <c r="D22" s="10" t="n">
        <v>16</v>
      </c>
      <c r="E22" s="10" t="n">
        <v>19</v>
      </c>
      <c r="F22" s="10" t="n">
        <v>20</v>
      </c>
      <c r="G22" s="10" t="n">
        <v>16</v>
      </c>
      <c r="H22" s="10" t="n">
        <v>19</v>
      </c>
      <c r="I22" s="10" t="n">
        <v>10</v>
      </c>
      <c r="J22" s="10" t="n">
        <v>11</v>
      </c>
      <c r="K22" s="10" t="n">
        <v>11</v>
      </c>
      <c r="L22" s="10" t="n">
        <v>21</v>
      </c>
      <c r="M22" s="10" t="n">
        <v>20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13</v>
      </c>
      <c r="C23" s="10" t="n">
        <v>10</v>
      </c>
      <c r="D23" s="10" t="n">
        <v>4</v>
      </c>
      <c r="E23" s="10" t="n">
        <v>1</v>
      </c>
      <c r="F23" s="10" t="n">
        <v>1</v>
      </c>
      <c r="G23" s="10" t="n">
        <v>3</v>
      </c>
      <c r="H23" s="10" t="n">
        <v>2</v>
      </c>
      <c r="I23" s="10" t="n">
        <v>5</v>
      </c>
      <c r="J23" s="10" t="n">
        <v>4</v>
      </c>
      <c r="K23" s="10" t="n">
        <v>2</v>
      </c>
      <c r="L23" s="10" t="n">
        <v>6</v>
      </c>
      <c r="M23" s="10" t="n">
        <v>9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5</v>
      </c>
      <c r="C25" s="10" t="n">
        <v>5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5</v>
      </c>
      <c r="C26" s="10" t="n">
        <v>5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1964.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0.4</v>
      </c>
      <c r="C6" s="8" t="n">
        <v>3.7</v>
      </c>
      <c r="D6" s="8" t="n">
        <v>8.1</v>
      </c>
      <c r="E6" s="8" t="n">
        <v>11.3</v>
      </c>
      <c r="F6" s="8" t="n">
        <v>15.8</v>
      </c>
      <c r="G6" s="8" t="n">
        <v>21.2</v>
      </c>
      <c r="H6" s="8" t="n">
        <v>22</v>
      </c>
      <c r="I6" s="8" t="n">
        <v>21</v>
      </c>
      <c r="J6" s="8" t="n">
        <v>17.1</v>
      </c>
      <c r="K6" s="8" t="n">
        <v>14</v>
      </c>
      <c r="L6" s="8" t="n">
        <v>8.6</v>
      </c>
      <c r="M6" s="8" t="n">
        <v>5.3</v>
      </c>
      <c r="N6" s="9">
        <f>AVERAGE(B6:M6)</f>
        <v/>
      </c>
    </row>
    <row r="7">
      <c r="A7" s="7" t="inlineStr">
        <is>
          <t>Srednja maksimalna</t>
        </is>
      </c>
      <c r="B7" s="8" t="n">
        <v>6.7</v>
      </c>
      <c r="C7" s="8" t="n">
        <v>9</v>
      </c>
      <c r="D7" s="8" t="n">
        <v>13</v>
      </c>
      <c r="E7" s="8" t="n">
        <v>16.9</v>
      </c>
      <c r="F7" s="8" t="n">
        <v>21.4</v>
      </c>
      <c r="G7" s="8" t="n">
        <v>26.6</v>
      </c>
      <c r="H7" s="8" t="n">
        <v>27.9</v>
      </c>
      <c r="I7" s="8" t="n">
        <v>26.9</v>
      </c>
      <c r="J7" s="8" t="n">
        <v>23</v>
      </c>
      <c r="K7" s="8" t="n">
        <v>18</v>
      </c>
      <c r="L7" s="8" t="n">
        <v>13.3</v>
      </c>
      <c r="M7" s="8" t="n">
        <v>9.9</v>
      </c>
      <c r="N7" s="9">
        <f>AVERAGE(B7:M7)</f>
        <v/>
      </c>
    </row>
    <row r="8">
      <c r="A8" s="7" t="inlineStr">
        <is>
          <t>Srednja minimalna</t>
        </is>
      </c>
      <c r="B8" s="8" t="n">
        <v>-3.8</v>
      </c>
      <c r="C8" s="8" t="n">
        <v>-1.1</v>
      </c>
      <c r="D8" s="8" t="n">
        <v>3</v>
      </c>
      <c r="E8" s="8" t="n">
        <v>5</v>
      </c>
      <c r="F8" s="8" t="n">
        <v>9</v>
      </c>
      <c r="G8" s="8" t="n">
        <v>14.8</v>
      </c>
      <c r="H8" s="8" t="n">
        <v>15.1</v>
      </c>
      <c r="I8" s="8" t="n">
        <v>14.4</v>
      </c>
      <c r="J8" s="8" t="n">
        <v>11.1</v>
      </c>
      <c r="K8" s="8" t="n">
        <v>10.3</v>
      </c>
      <c r="L8" s="8" t="n">
        <v>4.6</v>
      </c>
      <c r="M8" s="8" t="n">
        <v>1.6</v>
      </c>
      <c r="N8" s="9">
        <f>AVERAGE(B8:M8)</f>
        <v/>
      </c>
    </row>
    <row r="9">
      <c r="A9" s="7" t="inlineStr">
        <is>
          <t>Apsolutni maksimum</t>
        </is>
      </c>
      <c r="B9" s="8" t="n">
        <v>11.6</v>
      </c>
      <c r="C9" s="8" t="n">
        <v>15</v>
      </c>
      <c r="D9" s="8" t="n">
        <v>16.6</v>
      </c>
      <c r="E9" s="8" t="n">
        <v>21</v>
      </c>
      <c r="F9" s="8" t="n">
        <v>25.7</v>
      </c>
      <c r="G9" s="8" t="n">
        <v>30</v>
      </c>
      <c r="H9" s="8" t="n">
        <v>32.6</v>
      </c>
      <c r="I9" s="8" t="n">
        <v>30.3</v>
      </c>
      <c r="J9" s="8" t="n">
        <v>28</v>
      </c>
      <c r="K9" s="8" t="n">
        <v>24</v>
      </c>
      <c r="L9" s="8" t="n">
        <v>16.7</v>
      </c>
      <c r="M9" s="8" t="n">
        <v>12.6</v>
      </c>
      <c r="N9" s="9">
        <f>MAX(B9:M9)</f>
        <v/>
      </c>
    </row>
    <row r="10">
      <c r="A10" s="7" t="inlineStr">
        <is>
          <t>Apsolutni minimum</t>
        </is>
      </c>
      <c r="B10" s="8" t="n">
        <v>-7</v>
      </c>
      <c r="C10" s="8" t="n">
        <v>-7.3</v>
      </c>
      <c r="D10" s="8" t="n">
        <v>-3.7</v>
      </c>
      <c r="E10" s="8" t="n">
        <v>-0.4</v>
      </c>
      <c r="F10" s="8" t="n">
        <v>2.1</v>
      </c>
      <c r="G10" s="8" t="n">
        <v>11.9</v>
      </c>
      <c r="H10" s="8" t="n">
        <v>9.5</v>
      </c>
      <c r="I10" s="8" t="n">
        <v>9.800000000000001</v>
      </c>
      <c r="J10" s="8" t="n">
        <v>6.2</v>
      </c>
      <c r="K10" s="8" t="n">
        <v>5.2</v>
      </c>
      <c r="L10" s="8" t="n">
        <v>-2.4</v>
      </c>
      <c r="M10" s="8" t="n">
        <v>-6.1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21</v>
      </c>
      <c r="D11" s="10" t="n">
        <v>7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14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</v>
      </c>
      <c r="H12" s="10" t="n">
        <v>7</v>
      </c>
      <c r="I12" s="10" t="n">
        <v>3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66.90000000000001</v>
      </c>
      <c r="C14" s="8" t="n">
        <v>74.3</v>
      </c>
      <c r="D14" s="8" t="n">
        <v>78.7</v>
      </c>
      <c r="E14" s="8" t="n">
        <v>74.5</v>
      </c>
      <c r="F14" s="8" t="n">
        <v>71.5</v>
      </c>
      <c r="G14" s="8" t="n">
        <v>73.2</v>
      </c>
      <c r="H14" s="8" t="n">
        <v>64.40000000000001</v>
      </c>
      <c r="I14" s="8" t="n">
        <v>68.90000000000001</v>
      </c>
      <c r="J14" s="8" t="n">
        <v>72.2</v>
      </c>
      <c r="K14" s="8" t="n">
        <v>83.7</v>
      </c>
      <c r="L14" s="8" t="n">
        <v>83.2</v>
      </c>
      <c r="M14" s="8" t="n">
        <v>85.8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256.2</v>
      </c>
      <c r="C16" s="8" t="n">
        <v>213.5</v>
      </c>
      <c r="D16" s="8" t="n">
        <v>242.8</v>
      </c>
      <c r="E16" s="8" t="n">
        <v>319.2</v>
      </c>
      <c r="F16" s="8" t="n">
        <v>357.7</v>
      </c>
      <c r="G16" s="8" t="n">
        <v>387.1</v>
      </c>
      <c r="H16" s="8" t="n">
        <v>423.5</v>
      </c>
      <c r="I16" s="8" t="n">
        <v>379.3</v>
      </c>
      <c r="J16" s="8" t="n">
        <v>317.4</v>
      </c>
      <c r="K16" s="8" t="n">
        <v>197.1</v>
      </c>
      <c r="L16" s="8" t="n">
        <v>192</v>
      </c>
      <c r="M16" s="8" t="n">
        <v>154</v>
      </c>
      <c r="N16" s="9">
        <f>SUM(B16:M16)</f>
        <v/>
      </c>
    </row>
    <row r="17">
      <c r="A17" s="7" t="inlineStr">
        <is>
          <t>Broj vedrih dana</t>
        </is>
      </c>
      <c r="B17" s="10" t="n">
        <v>21</v>
      </c>
      <c r="C17" s="10" t="n">
        <v>11</v>
      </c>
      <c r="D17" s="10" t="n">
        <v>3</v>
      </c>
      <c r="E17" s="10" t="n">
        <v>3</v>
      </c>
      <c r="F17" s="10" t="n">
        <v>3</v>
      </c>
      <c r="G17" s="10" t="n">
        <v>5</v>
      </c>
      <c r="H17" s="10" t="n">
        <v>20</v>
      </c>
      <c r="I17" s="10" t="n">
        <v>14</v>
      </c>
      <c r="J17" s="10" t="n">
        <v>16</v>
      </c>
      <c r="K17" s="10" t="n">
        <v>1</v>
      </c>
      <c r="L17" s="10" t="n">
        <v>2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3</v>
      </c>
      <c r="C18" s="10" t="n">
        <v>12</v>
      </c>
      <c r="D18" s="10" t="n">
        <v>17</v>
      </c>
      <c r="E18" s="10" t="n">
        <v>12</v>
      </c>
      <c r="F18" s="10" t="n">
        <v>8</v>
      </c>
      <c r="G18" s="10" t="n">
        <v>2</v>
      </c>
      <c r="H18" s="10" t="n">
        <v>1</v>
      </c>
      <c r="I18" s="10" t="n">
        <v>2</v>
      </c>
      <c r="J18" s="10" t="n">
        <v>3</v>
      </c>
      <c r="K18" s="10" t="n">
        <v>15</v>
      </c>
      <c r="L18" s="10" t="n">
        <v>11</v>
      </c>
      <c r="M18" s="10" t="n">
        <v>14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3.9</v>
      </c>
      <c r="C20" s="8" t="n">
        <v>94.2</v>
      </c>
      <c r="D20" s="8" t="n">
        <v>225.3</v>
      </c>
      <c r="E20" s="8" t="n">
        <v>138</v>
      </c>
      <c r="F20" s="8" t="n">
        <v>66.09999999999999</v>
      </c>
      <c r="G20" s="8" t="n">
        <v>70.5</v>
      </c>
      <c r="H20" s="8" t="n">
        <v>39.9</v>
      </c>
      <c r="I20" s="8" t="n">
        <v>82.7</v>
      </c>
      <c r="J20" s="8" t="n">
        <v>68.3</v>
      </c>
      <c r="K20" s="8" t="n">
        <v>428.3</v>
      </c>
      <c r="L20" s="8" t="n">
        <v>171</v>
      </c>
      <c r="M20" s="8" t="n">
        <v>290</v>
      </c>
      <c r="N20" s="9">
        <f>SUM(B20:M20)</f>
        <v/>
      </c>
    </row>
    <row r="21">
      <c r="A21" s="7" t="inlineStr">
        <is>
          <t>Max. dnevna suma</t>
        </is>
      </c>
      <c r="B21" s="8" t="n">
        <v>1.5</v>
      </c>
      <c r="C21" s="8" t="n">
        <v>26.4</v>
      </c>
      <c r="D21" s="8" t="n">
        <v>39.8</v>
      </c>
      <c r="E21" s="8" t="n">
        <v>48.7</v>
      </c>
      <c r="F21" s="8" t="n">
        <v>12</v>
      </c>
      <c r="G21" s="8" t="n">
        <v>11.1</v>
      </c>
      <c r="H21" s="8" t="n">
        <v>28.1</v>
      </c>
      <c r="I21" s="8" t="n">
        <v>18.3</v>
      </c>
      <c r="J21" s="8" t="n">
        <v>21.4</v>
      </c>
      <c r="K21" s="8" t="n">
        <v>64.59999999999999</v>
      </c>
      <c r="L21" s="8" t="n">
        <v>50.1</v>
      </c>
      <c r="M21" s="8" t="n">
        <v>44.9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3</v>
      </c>
      <c r="C22" s="10" t="n">
        <v>14</v>
      </c>
      <c r="D22" s="10" t="n">
        <v>22</v>
      </c>
      <c r="E22" s="10" t="n">
        <v>17</v>
      </c>
      <c r="F22" s="10" t="n">
        <v>16</v>
      </c>
      <c r="G22" s="10" t="n">
        <v>20</v>
      </c>
      <c r="H22" s="10" t="n">
        <v>14</v>
      </c>
      <c r="I22" s="10" t="n">
        <v>13</v>
      </c>
      <c r="J22" s="10" t="n">
        <v>11</v>
      </c>
      <c r="K22" s="10" t="n">
        <v>24</v>
      </c>
      <c r="L22" s="10" t="n">
        <v>17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2</v>
      </c>
      <c r="D23" s="10" t="n">
        <v>10</v>
      </c>
      <c r="E23" s="10" t="n">
        <v>5</v>
      </c>
      <c r="F23" s="10" t="n">
        <v>2</v>
      </c>
      <c r="G23" s="10" t="n">
        <v>1</v>
      </c>
      <c r="H23" s="10" t="n">
        <v>1</v>
      </c>
      <c r="I23" s="10" t="n">
        <v>4</v>
      </c>
      <c r="J23" s="10" t="n">
        <v>4</v>
      </c>
      <c r="K23" s="10" t="n">
        <v>11</v>
      </c>
      <c r="L23" s="10" t="n">
        <v>6</v>
      </c>
      <c r="M23" s="10" t="n">
        <v>11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1965.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3.7</v>
      </c>
      <c r="C6" s="8" t="n">
        <v>-1.9</v>
      </c>
      <c r="D6" s="8" t="n">
        <v>7</v>
      </c>
      <c r="E6" s="8" t="n">
        <v>9.699999999999999</v>
      </c>
      <c r="F6" s="8" t="n">
        <v>14.6</v>
      </c>
      <c r="G6" s="8" t="n">
        <v>19.3</v>
      </c>
      <c r="H6" s="8" t="n">
        <v>22.8</v>
      </c>
      <c r="I6" s="8" t="n">
        <v>21.1</v>
      </c>
      <c r="J6" s="8" t="n">
        <v>17.8</v>
      </c>
      <c r="K6" s="8" t="n">
        <v>12.3</v>
      </c>
      <c r="L6" s="8" t="n">
        <v>9</v>
      </c>
      <c r="M6" s="8" t="n">
        <v>5.5</v>
      </c>
      <c r="N6" s="9">
        <f>AVERAGE(B6:M6)</f>
        <v/>
      </c>
    </row>
    <row r="7">
      <c r="A7" s="7" t="inlineStr">
        <is>
          <t>Srednja maksimalna</t>
        </is>
      </c>
      <c r="B7" s="8" t="n">
        <v>8.4</v>
      </c>
      <c r="C7" s="8" t="n">
        <v>3.5</v>
      </c>
      <c r="D7" s="8" t="n">
        <v>12.7</v>
      </c>
      <c r="E7" s="8" t="n">
        <v>14.7</v>
      </c>
      <c r="F7" s="8" t="n">
        <v>20.1</v>
      </c>
      <c r="G7" s="8" t="n">
        <v>24.8</v>
      </c>
      <c r="H7" s="8" t="n">
        <v>28.7</v>
      </c>
      <c r="I7" s="8" t="n">
        <v>27.1</v>
      </c>
      <c r="J7" s="8" t="n">
        <v>22.9</v>
      </c>
      <c r="K7" s="8" t="n">
        <v>19.5</v>
      </c>
      <c r="L7" s="8" t="n">
        <v>13</v>
      </c>
      <c r="M7" s="8" t="n">
        <v>9.6</v>
      </c>
      <c r="N7" s="9">
        <f>AVERAGE(B7:M7)</f>
        <v/>
      </c>
    </row>
    <row r="8">
      <c r="A8" s="7" t="inlineStr">
        <is>
          <t>Srednja minimalna</t>
        </is>
      </c>
      <c r="B8" s="8" t="n">
        <v>-0.4</v>
      </c>
      <c r="C8" s="8" t="n">
        <v>-7.6</v>
      </c>
      <c r="D8" s="8" t="n">
        <v>0.9</v>
      </c>
      <c r="E8" s="8" t="n">
        <v>4.2</v>
      </c>
      <c r="F8" s="8" t="n">
        <v>8.199999999999999</v>
      </c>
      <c r="G8" s="8" t="n">
        <v>12.8</v>
      </c>
      <c r="H8" s="8" t="n">
        <v>15.2</v>
      </c>
      <c r="I8" s="8" t="n">
        <v>13.8</v>
      </c>
      <c r="J8" s="8" t="n">
        <v>12.6</v>
      </c>
      <c r="K8" s="8" t="n">
        <v>5.8</v>
      </c>
      <c r="L8" s="8" t="n">
        <v>4.5</v>
      </c>
      <c r="M8" s="8" t="n">
        <v>1.8</v>
      </c>
      <c r="N8" s="9">
        <f>AVERAGE(B8:M8)</f>
        <v/>
      </c>
    </row>
    <row r="9">
      <c r="A9" s="7" t="inlineStr">
        <is>
          <t>Apsolutni maksimum</t>
        </is>
      </c>
      <c r="B9" s="8" t="n">
        <v>12.9</v>
      </c>
      <c r="C9" s="8" t="n">
        <v>12.5</v>
      </c>
      <c r="D9" s="8" t="n">
        <v>17.5</v>
      </c>
      <c r="E9" s="8" t="n">
        <v>20.1</v>
      </c>
      <c r="F9" s="8" t="n">
        <v>24.6</v>
      </c>
      <c r="G9" s="8" t="n">
        <v>32.9</v>
      </c>
      <c r="H9" s="8" t="n">
        <v>33.2</v>
      </c>
      <c r="I9" s="8" t="n">
        <v>33</v>
      </c>
      <c r="J9" s="8" t="n">
        <v>27.7</v>
      </c>
      <c r="K9" s="8" t="n">
        <v>25.7</v>
      </c>
      <c r="L9" s="8" t="n">
        <v>19.1</v>
      </c>
      <c r="M9" s="8" t="n">
        <v>14.3</v>
      </c>
      <c r="N9" s="9">
        <f>MAX(B9:M9)</f>
        <v/>
      </c>
    </row>
    <row r="10">
      <c r="A10" s="7" t="inlineStr">
        <is>
          <t>Apsolutni minimum</t>
        </is>
      </c>
      <c r="B10" s="8" t="n">
        <v>-6.8</v>
      </c>
      <c r="C10" s="8" t="n">
        <v>-16.3</v>
      </c>
      <c r="D10" s="8" t="n">
        <v>-4.9</v>
      </c>
      <c r="E10" s="8" t="n">
        <v>-1.5</v>
      </c>
      <c r="F10" s="8" t="n">
        <v>2</v>
      </c>
      <c r="G10" s="8" t="n">
        <v>9.5</v>
      </c>
      <c r="H10" s="8" t="n">
        <v>10.1</v>
      </c>
      <c r="I10" s="8" t="n">
        <v>8.5</v>
      </c>
      <c r="J10" s="8" t="n">
        <v>9</v>
      </c>
      <c r="K10" s="8" t="n">
        <v>-0.2</v>
      </c>
      <c r="L10" s="8" t="n">
        <v>-4.3</v>
      </c>
      <c r="M10" s="8" t="n">
        <v>-7.1</v>
      </c>
      <c r="N10" s="9">
        <f>MIN(B10:M10)</f>
        <v/>
      </c>
    </row>
    <row r="11">
      <c r="A11" s="7" t="inlineStr">
        <is>
          <t>Sr. br. mraznih dana</t>
        </is>
      </c>
      <c r="B11" s="10" t="n">
        <v>17</v>
      </c>
      <c r="C11" s="10" t="n">
        <v>27</v>
      </c>
      <c r="D11" s="10" t="n">
        <v>11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6</v>
      </c>
      <c r="M11" s="10" t="n">
        <v>11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5</v>
      </c>
      <c r="H12" s="10" t="n">
        <v>11</v>
      </c>
      <c r="I12" s="10" t="n">
        <v>7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81.90000000000001</v>
      </c>
      <c r="C14" s="8" t="n">
        <v>70.2</v>
      </c>
      <c r="D14" s="8" t="n">
        <v>75.8</v>
      </c>
      <c r="E14" s="8" t="n">
        <v>78.90000000000001</v>
      </c>
      <c r="F14" s="8" t="n">
        <v>72.7</v>
      </c>
      <c r="G14" s="8" t="n">
        <v>73.8</v>
      </c>
      <c r="H14" s="8" t="n">
        <v>61.1</v>
      </c>
      <c r="I14" s="8" t="n">
        <v>60.5</v>
      </c>
      <c r="J14" s="8" t="n">
        <v>76.8</v>
      </c>
      <c r="K14" s="8" t="n">
        <v>73.8</v>
      </c>
      <c r="L14" s="8" t="n">
        <v>85.2</v>
      </c>
      <c r="M14" s="8" t="n">
        <v>85.5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174.9</v>
      </c>
      <c r="C16" s="8" t="n">
        <v>200.7</v>
      </c>
      <c r="D16" s="8" t="n">
        <v>300.1</v>
      </c>
      <c r="E16" s="8" t="n">
        <v>292.7</v>
      </c>
      <c r="F16" s="8" t="n">
        <v>374.1</v>
      </c>
      <c r="G16" s="8" t="n">
        <v>376.6</v>
      </c>
      <c r="H16" s="8" t="n">
        <v>424.6</v>
      </c>
      <c r="I16" s="8" t="n">
        <v>395.5</v>
      </c>
      <c r="J16" s="8" t="n">
        <v>305.2</v>
      </c>
      <c r="K16" s="8" t="n">
        <v>324.2</v>
      </c>
      <c r="L16" s="8" t="n">
        <v>172.8</v>
      </c>
      <c r="M16" s="8" t="n">
        <v>156.4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9</v>
      </c>
      <c r="D17" s="10" t="n">
        <v>6</v>
      </c>
      <c r="E17" s="10" t="n">
        <v>5</v>
      </c>
      <c r="F17" s="10" t="n">
        <v>7</v>
      </c>
      <c r="G17" s="10" t="n">
        <v>9</v>
      </c>
      <c r="H17" s="10" t="n">
        <v>22</v>
      </c>
      <c r="I17" s="10" t="n">
        <v>14</v>
      </c>
      <c r="J17" s="10" t="n">
        <v>8</v>
      </c>
      <c r="K17" s="10" t="n">
        <v>16</v>
      </c>
      <c r="L17" s="10" t="n">
        <v>2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9</v>
      </c>
      <c r="D18" s="10" t="n">
        <v>6</v>
      </c>
      <c r="E18" s="10" t="n">
        <v>10</v>
      </c>
      <c r="F18" s="10" t="n">
        <v>3</v>
      </c>
      <c r="G18" s="10" t="n">
        <v>5</v>
      </c>
      <c r="H18" s="10" t="n">
        <v>0</v>
      </c>
      <c r="I18" s="10" t="n">
        <v>2</v>
      </c>
      <c r="J18" s="10" t="n">
        <v>5</v>
      </c>
      <c r="K18" s="10" t="n">
        <v>2</v>
      </c>
      <c r="L18" s="10" t="n">
        <v>12</v>
      </c>
      <c r="M18" s="10" t="n">
        <v>18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113.4</v>
      </c>
      <c r="C20" s="8" t="n">
        <v>117.3</v>
      </c>
      <c r="D20" s="8" t="n">
        <v>199.5</v>
      </c>
      <c r="E20" s="8" t="n">
        <v>233.1</v>
      </c>
      <c r="F20" s="8" t="n">
        <v>64.8</v>
      </c>
      <c r="G20" s="8" t="n">
        <v>110</v>
      </c>
      <c r="H20" s="8" t="n">
        <v>6.3</v>
      </c>
      <c r="I20" s="8" t="n">
        <v>51.5</v>
      </c>
      <c r="J20" s="8" t="n">
        <v>245.7</v>
      </c>
      <c r="K20" s="8" t="n">
        <v>0.4</v>
      </c>
      <c r="L20" s="8" t="n">
        <v>270</v>
      </c>
      <c r="M20" s="8" t="n">
        <v>212.9</v>
      </c>
      <c r="N20" s="9">
        <f>SUM(B20:M20)</f>
        <v/>
      </c>
    </row>
    <row r="21">
      <c r="A21" s="7" t="inlineStr">
        <is>
          <t>Max. dnevna suma</t>
        </is>
      </c>
      <c r="B21" s="8" t="n">
        <v>26.6</v>
      </c>
      <c r="C21" s="8" t="n">
        <v>25.1</v>
      </c>
      <c r="D21" s="8" t="n">
        <v>85.7</v>
      </c>
      <c r="E21" s="8" t="n">
        <v>33.8</v>
      </c>
      <c r="F21" s="8" t="n">
        <v>16.9</v>
      </c>
      <c r="G21" s="8" t="n">
        <v>25.2</v>
      </c>
      <c r="H21" s="8" t="n">
        <v>2.5</v>
      </c>
      <c r="I21" s="8" t="n">
        <v>32.6</v>
      </c>
      <c r="J21" s="8" t="n">
        <v>65.8</v>
      </c>
      <c r="K21" s="8" t="n">
        <v>0.3</v>
      </c>
      <c r="L21" s="8" t="n">
        <v>25.6</v>
      </c>
      <c r="M21" s="8" t="n">
        <v>57.2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14</v>
      </c>
      <c r="D22" s="10" t="n">
        <v>20</v>
      </c>
      <c r="E22" s="10" t="n">
        <v>23</v>
      </c>
      <c r="F22" s="10" t="n">
        <v>18</v>
      </c>
      <c r="G22" s="10" t="n">
        <v>17</v>
      </c>
      <c r="H22" s="10" t="n">
        <v>8</v>
      </c>
      <c r="I22" s="10" t="n">
        <v>11</v>
      </c>
      <c r="J22" s="10" t="n">
        <v>14</v>
      </c>
      <c r="K22" s="10" t="n">
        <v>2</v>
      </c>
      <c r="L22" s="10" t="n">
        <v>23</v>
      </c>
      <c r="M22" s="10" t="n">
        <v>25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5</v>
      </c>
      <c r="D23" s="10" t="n">
        <v>4</v>
      </c>
      <c r="E23" s="10" t="n">
        <v>8</v>
      </c>
      <c r="F23" s="10" t="n">
        <v>1</v>
      </c>
      <c r="G23" s="10" t="n">
        <v>4</v>
      </c>
      <c r="H23" s="10" t="n">
        <v>0</v>
      </c>
      <c r="I23" s="10" t="n">
        <v>1</v>
      </c>
      <c r="J23" s="10" t="n">
        <v>7</v>
      </c>
      <c r="K23" s="10" t="n">
        <v>0</v>
      </c>
      <c r="L23" s="10" t="n">
        <v>14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9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9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1966.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0.5</v>
      </c>
      <c r="C6" s="8" t="n">
        <v>7.6</v>
      </c>
      <c r="D6" s="8" t="n">
        <v>6.2</v>
      </c>
      <c r="E6" s="8" t="n">
        <v>12.2</v>
      </c>
      <c r="F6" s="8" t="n">
        <v>15.6</v>
      </c>
      <c r="G6" s="8" t="n">
        <v>19.9</v>
      </c>
      <c r="H6" s="8" t="n">
        <v>21.2</v>
      </c>
      <c r="I6" s="8" t="n">
        <v>21.8</v>
      </c>
      <c r="J6" s="8" t="n">
        <v>18.4</v>
      </c>
      <c r="K6" s="8" t="n">
        <v>15.6</v>
      </c>
      <c r="L6" s="8" t="n">
        <v>8.1</v>
      </c>
      <c r="M6" s="8" t="n">
        <v>3.7</v>
      </c>
      <c r="N6" s="9">
        <f>AVERAGE(B6:M6)</f>
        <v/>
      </c>
    </row>
    <row r="7">
      <c r="A7" s="7" t="inlineStr">
        <is>
          <t>Srednja maksimalna</t>
        </is>
      </c>
      <c r="B7" s="8" t="n">
        <v>5.6</v>
      </c>
      <c r="C7" s="8" t="n">
        <v>12.4</v>
      </c>
      <c r="D7" s="8" t="n">
        <v>11.7</v>
      </c>
      <c r="E7" s="8" t="n">
        <v>17.8</v>
      </c>
      <c r="F7" s="8" t="n">
        <v>21.1</v>
      </c>
      <c r="G7" s="8" t="n">
        <v>25.4</v>
      </c>
      <c r="H7" s="8" t="n">
        <v>26.6</v>
      </c>
      <c r="I7" s="8" t="n">
        <v>27.5</v>
      </c>
      <c r="J7" s="8" t="n">
        <v>24.5</v>
      </c>
      <c r="K7" s="8" t="n">
        <v>20</v>
      </c>
      <c r="L7" s="8" t="n">
        <v>12.6</v>
      </c>
      <c r="M7" s="8" t="n">
        <v>8</v>
      </c>
      <c r="N7" s="9">
        <f>AVERAGE(B7:M7)</f>
        <v/>
      </c>
    </row>
    <row r="8">
      <c r="A8" s="7" t="inlineStr">
        <is>
          <t>Srednja minimalna</t>
        </is>
      </c>
      <c r="B8" s="8" t="n">
        <v>-3.9</v>
      </c>
      <c r="C8" s="8" t="n">
        <v>2.8</v>
      </c>
      <c r="D8" s="8" t="n">
        <v>0.6</v>
      </c>
      <c r="E8" s="8" t="n">
        <v>6.2</v>
      </c>
      <c r="F8" s="8" t="n">
        <v>9.1</v>
      </c>
      <c r="G8" s="8" t="n">
        <v>13</v>
      </c>
      <c r="H8" s="8" t="n">
        <v>14.7</v>
      </c>
      <c r="I8" s="8" t="n">
        <v>15.2</v>
      </c>
      <c r="J8" s="8" t="n">
        <v>12</v>
      </c>
      <c r="K8" s="8" t="n">
        <v>11.6</v>
      </c>
      <c r="L8" s="8" t="n">
        <v>3.8</v>
      </c>
      <c r="M8" s="8" t="n">
        <v>-0.3</v>
      </c>
      <c r="N8" s="9">
        <f>AVERAGE(B8:M8)</f>
        <v/>
      </c>
    </row>
    <row r="9">
      <c r="A9" s="7" t="inlineStr">
        <is>
          <t>Apsolutni maksimum</t>
        </is>
      </c>
      <c r="B9" s="8" t="n">
        <v>10.9</v>
      </c>
      <c r="C9" s="8" t="n">
        <v>16.5</v>
      </c>
      <c r="D9" s="8" t="n">
        <v>16.3</v>
      </c>
      <c r="E9" s="8" t="n">
        <v>23.7</v>
      </c>
      <c r="F9" s="8" t="n">
        <v>26.3</v>
      </c>
      <c r="G9" s="8" t="n">
        <v>29.8</v>
      </c>
      <c r="H9" s="8" t="n">
        <v>30.5</v>
      </c>
      <c r="I9" s="8" t="n">
        <v>32.7</v>
      </c>
      <c r="J9" s="8" t="n">
        <v>29.3</v>
      </c>
      <c r="K9" s="8" t="n">
        <v>23.6</v>
      </c>
      <c r="L9" s="8" t="n">
        <v>18.4</v>
      </c>
      <c r="M9" s="8" t="n">
        <v>13</v>
      </c>
      <c r="N9" s="9">
        <f>MAX(B9:M9)</f>
        <v/>
      </c>
    </row>
    <row r="10">
      <c r="A10" s="7" t="inlineStr">
        <is>
          <t>Apsolutni minimum</t>
        </is>
      </c>
      <c r="B10" s="8" t="n">
        <v>-16.8</v>
      </c>
      <c r="C10" s="8" t="n">
        <v>-3.1</v>
      </c>
      <c r="D10" s="8" t="n">
        <v>-4.8</v>
      </c>
      <c r="E10" s="8" t="n">
        <v>-2.3</v>
      </c>
      <c r="F10" s="8" t="n">
        <v>5.7</v>
      </c>
      <c r="G10" s="8" t="n">
        <v>7.8</v>
      </c>
      <c r="H10" s="8" t="n">
        <v>11.3</v>
      </c>
      <c r="I10" s="8" t="n">
        <v>11</v>
      </c>
      <c r="J10" s="8" t="n">
        <v>8.800000000000001</v>
      </c>
      <c r="K10" s="8" t="n">
        <v>6</v>
      </c>
      <c r="L10" s="8" t="n">
        <v>-2.2</v>
      </c>
      <c r="M10" s="8" t="n">
        <v>-6.2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10</v>
      </c>
      <c r="D11" s="10" t="n">
        <v>16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4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2</v>
      </c>
      <c r="I12" s="10" t="n">
        <v>8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76</v>
      </c>
      <c r="C14" s="8" t="n">
        <v>85.09999999999999</v>
      </c>
      <c r="D14" s="8" t="n">
        <v>72.5</v>
      </c>
      <c r="E14" s="8" t="n">
        <v>78.90000000000001</v>
      </c>
      <c r="F14" s="8" t="n">
        <v>76.8</v>
      </c>
      <c r="G14" s="8" t="n">
        <v>70.90000000000001</v>
      </c>
      <c r="H14" s="8" t="n">
        <v>70.09999999999999</v>
      </c>
      <c r="I14" s="8" t="n">
        <v>69.8</v>
      </c>
      <c r="J14" s="8" t="n">
        <v>74.5</v>
      </c>
      <c r="K14" s="8" t="n">
        <v>85.59999999999999</v>
      </c>
      <c r="L14" s="8" t="n">
        <v>83.3</v>
      </c>
      <c r="M14" s="8" t="n">
        <v>80.40000000000001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189</v>
      </c>
      <c r="C16" s="8" t="n">
        <v>190.8</v>
      </c>
      <c r="D16" s="8" t="n">
        <v>299.5</v>
      </c>
      <c r="E16" s="8" t="n">
        <v>305.3</v>
      </c>
      <c r="F16" s="8" t="n">
        <v>366.9</v>
      </c>
      <c r="G16" s="8" t="n">
        <v>400.7</v>
      </c>
      <c r="H16" s="8" t="n">
        <v>410.5</v>
      </c>
      <c r="I16" s="8" t="n">
        <v>381.9</v>
      </c>
      <c r="J16" s="8" t="n">
        <v>320.1</v>
      </c>
      <c r="K16" s="8" t="n">
        <v>232.1</v>
      </c>
      <c r="L16" s="8" t="n">
        <v>189.6</v>
      </c>
      <c r="M16" s="8" t="n">
        <v>146.9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2</v>
      </c>
      <c r="D17" s="10" t="n">
        <v>6</v>
      </c>
      <c r="E17" s="10" t="n">
        <v>2</v>
      </c>
      <c r="F17" s="10" t="n">
        <v>10</v>
      </c>
      <c r="G17" s="10" t="n">
        <v>13</v>
      </c>
      <c r="H17" s="10" t="n">
        <v>13</v>
      </c>
      <c r="I17" s="10" t="n">
        <v>16</v>
      </c>
      <c r="J17" s="10" t="n">
        <v>15</v>
      </c>
      <c r="K17" s="10" t="n">
        <v>4</v>
      </c>
      <c r="L17" s="10" t="n">
        <v>3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16</v>
      </c>
      <c r="D18" s="10" t="n">
        <v>4</v>
      </c>
      <c r="E18" s="10" t="n">
        <v>12</v>
      </c>
      <c r="F18" s="10" t="n">
        <v>6</v>
      </c>
      <c r="G18" s="10" t="n">
        <v>1</v>
      </c>
      <c r="H18" s="10" t="n">
        <v>0</v>
      </c>
      <c r="I18" s="10" t="n">
        <v>1</v>
      </c>
      <c r="J18" s="10" t="n">
        <v>3</v>
      </c>
      <c r="K18" s="10" t="n">
        <v>10</v>
      </c>
      <c r="L18" s="10" t="n">
        <v>12</v>
      </c>
      <c r="M18" s="10" t="n">
        <v>19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189.9</v>
      </c>
      <c r="C20" s="8" t="n">
        <v>202.7</v>
      </c>
      <c r="D20" s="8" t="n">
        <v>117.1</v>
      </c>
      <c r="E20" s="8" t="n">
        <v>131.4</v>
      </c>
      <c r="F20" s="8" t="n">
        <v>181.4</v>
      </c>
      <c r="G20" s="8" t="n">
        <v>50.9</v>
      </c>
      <c r="H20" s="8" t="n">
        <v>119.9</v>
      </c>
      <c r="I20" s="8" t="n">
        <v>88.3</v>
      </c>
      <c r="J20" s="8" t="n">
        <v>114.5</v>
      </c>
      <c r="K20" s="8" t="n">
        <v>293.9</v>
      </c>
      <c r="L20" s="8" t="n">
        <v>266.6</v>
      </c>
      <c r="M20" s="8" t="n">
        <v>211.2</v>
      </c>
      <c r="N20" s="9">
        <f>SUM(B20:M20)</f>
        <v/>
      </c>
    </row>
    <row r="21">
      <c r="A21" s="7" t="inlineStr">
        <is>
          <t>Max. dnevna suma</t>
        </is>
      </c>
      <c r="B21" s="8" t="n">
        <v>38.2</v>
      </c>
      <c r="C21" s="8" t="n">
        <v>47.8</v>
      </c>
      <c r="D21" s="8" t="n">
        <v>24</v>
      </c>
      <c r="E21" s="8" t="n">
        <v>21.4</v>
      </c>
      <c r="F21" s="8" t="n">
        <v>45.7</v>
      </c>
      <c r="G21" s="8" t="n">
        <v>17.5</v>
      </c>
      <c r="H21" s="8" t="n">
        <v>38</v>
      </c>
      <c r="I21" s="8" t="n">
        <v>39.6</v>
      </c>
      <c r="J21" s="8" t="n">
        <v>47.9</v>
      </c>
      <c r="K21" s="8" t="n">
        <v>71.7</v>
      </c>
      <c r="L21" s="8" t="n">
        <v>43.4</v>
      </c>
      <c r="M21" s="8" t="n">
        <v>45.2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14</v>
      </c>
      <c r="C22" s="10" t="n">
        <v>15</v>
      </c>
      <c r="D22" s="10" t="n">
        <v>15</v>
      </c>
      <c r="E22" s="10" t="n">
        <v>25</v>
      </c>
      <c r="F22" s="10" t="n">
        <v>20</v>
      </c>
      <c r="G22" s="10" t="n">
        <v>14</v>
      </c>
      <c r="H22" s="10" t="n">
        <v>19</v>
      </c>
      <c r="I22" s="10" t="n">
        <v>9</v>
      </c>
      <c r="J22" s="10" t="n">
        <v>7</v>
      </c>
      <c r="K22" s="10" t="n">
        <v>25</v>
      </c>
      <c r="L22" s="10" t="n">
        <v>21</v>
      </c>
      <c r="M22" s="10" t="n">
        <v>23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10</v>
      </c>
      <c r="C23" s="10" t="n">
        <v>9</v>
      </c>
      <c r="D23" s="10" t="n">
        <v>4</v>
      </c>
      <c r="E23" s="10" t="n">
        <v>6</v>
      </c>
      <c r="F23" s="10" t="n">
        <v>5</v>
      </c>
      <c r="G23" s="10" t="n">
        <v>2</v>
      </c>
      <c r="H23" s="10" t="n">
        <v>3</v>
      </c>
      <c r="I23" s="10" t="n">
        <v>2</v>
      </c>
      <c r="J23" s="10" t="n">
        <v>3</v>
      </c>
      <c r="K23" s="10" t="n">
        <v>8</v>
      </c>
      <c r="L23" s="10" t="n">
        <v>12</v>
      </c>
      <c r="M23" s="10" t="n">
        <v>7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0</v>
      </c>
      <c r="D25" s="10" t="n">
        <v>3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0</v>
      </c>
      <c r="D26" s="10" t="n">
        <v>3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1967.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-1.6</v>
      </c>
      <c r="C6" s="8" t="n">
        <v>3.2</v>
      </c>
      <c r="D6" s="8" t="n">
        <v>7.5</v>
      </c>
      <c r="E6" s="8" t="n">
        <v>10.7</v>
      </c>
      <c r="F6" s="8" t="n">
        <v>16.2</v>
      </c>
      <c r="G6" s="8" t="n">
        <v>18.1</v>
      </c>
      <c r="H6" s="8" t="n">
        <v>23.2</v>
      </c>
      <c r="I6" s="8" t="n">
        <v>23.7</v>
      </c>
      <c r="J6" s="8" t="n">
        <v>19</v>
      </c>
      <c r="K6" s="8" t="n">
        <v>14.4</v>
      </c>
      <c r="L6" s="8" t="n">
        <v>8.9</v>
      </c>
      <c r="M6" s="8" t="n">
        <v>3.3</v>
      </c>
      <c r="N6" s="9">
        <f>AVERAGE(B6:M6)</f>
        <v/>
      </c>
    </row>
    <row r="7">
      <c r="A7" s="7" t="inlineStr">
        <is>
          <t>Srednja maksimalna</t>
        </is>
      </c>
      <c r="B7" s="8" t="n">
        <v>5.2</v>
      </c>
      <c r="C7" s="8" t="n">
        <v>8.5</v>
      </c>
      <c r="D7" s="8" t="n">
        <v>12.8</v>
      </c>
      <c r="E7" s="8" t="n">
        <v>15.6</v>
      </c>
      <c r="F7" s="8" t="n">
        <v>21.3</v>
      </c>
      <c r="G7" s="8" t="n">
        <v>23.6</v>
      </c>
      <c r="H7" s="8" t="n">
        <v>29.3</v>
      </c>
      <c r="I7" s="8" t="n">
        <v>30.1</v>
      </c>
      <c r="J7" s="8" t="n">
        <v>24.3</v>
      </c>
      <c r="K7" s="8" t="n">
        <v>20.9</v>
      </c>
      <c r="L7" s="8" t="n">
        <v>14.4</v>
      </c>
      <c r="M7" s="8" t="n">
        <v>7.3</v>
      </c>
      <c r="N7" s="9">
        <f>AVERAGE(B7:M7)</f>
        <v/>
      </c>
    </row>
    <row r="8">
      <c r="A8" s="7" t="inlineStr">
        <is>
          <t>Srednja minimalna</t>
        </is>
      </c>
      <c r="B8" s="8" t="n">
        <v>-7.4</v>
      </c>
      <c r="C8" s="8" t="n">
        <v>-1.7</v>
      </c>
      <c r="D8" s="8" t="n">
        <v>2</v>
      </c>
      <c r="E8" s="8" t="n">
        <v>5.2</v>
      </c>
      <c r="F8" s="8" t="n">
        <v>9.9</v>
      </c>
      <c r="G8" s="8" t="n">
        <v>11.4</v>
      </c>
      <c r="H8" s="8" t="n">
        <v>16.1</v>
      </c>
      <c r="I8" s="8" t="n">
        <v>16.1</v>
      </c>
      <c r="J8" s="8" t="n">
        <v>13.6</v>
      </c>
      <c r="K8" s="8" t="n">
        <v>8.5</v>
      </c>
      <c r="L8" s="8" t="n">
        <v>4.4</v>
      </c>
      <c r="M8" s="8" t="n">
        <v>-0.4</v>
      </c>
      <c r="N8" s="9">
        <f>AVERAGE(B8:M8)</f>
        <v/>
      </c>
    </row>
    <row r="9">
      <c r="A9" s="7" t="inlineStr">
        <is>
          <t>Apsolutni maksimum</t>
        </is>
      </c>
      <c r="B9" s="8" t="n">
        <v>11.8</v>
      </c>
      <c r="C9" s="8" t="n">
        <v>14.3</v>
      </c>
      <c r="D9" s="8" t="n">
        <v>16.5</v>
      </c>
      <c r="E9" s="8" t="n">
        <v>22.5</v>
      </c>
      <c r="F9" s="8" t="n">
        <v>25.8</v>
      </c>
      <c r="G9" s="8" t="n">
        <v>32.3</v>
      </c>
      <c r="H9" s="8" t="n">
        <v>36</v>
      </c>
      <c r="I9" s="8" t="n">
        <v>34.1</v>
      </c>
      <c r="J9" s="8" t="n">
        <v>30.3</v>
      </c>
      <c r="K9" s="8" t="n">
        <v>26.4</v>
      </c>
      <c r="L9" s="8" t="n">
        <v>18.7</v>
      </c>
      <c r="M9" s="8" t="n">
        <v>12.8</v>
      </c>
      <c r="N9" s="9">
        <f>MAX(B9:M9)</f>
        <v/>
      </c>
    </row>
    <row r="10">
      <c r="A10" s="7" t="inlineStr">
        <is>
          <t>Apsolutni minimum</t>
        </is>
      </c>
      <c r="B10" s="8" t="n">
        <v>-19.4</v>
      </c>
      <c r="C10" s="8" t="n">
        <v>-6.7</v>
      </c>
      <c r="D10" s="8" t="n">
        <v>-3.6</v>
      </c>
      <c r="E10" s="8" t="n">
        <v>-2.2</v>
      </c>
      <c r="F10" s="8" t="n">
        <v>4.5</v>
      </c>
      <c r="G10" s="8" t="n">
        <v>6.4</v>
      </c>
      <c r="H10" s="8" t="n">
        <v>13.3</v>
      </c>
      <c r="I10" s="8" t="n">
        <v>12.4</v>
      </c>
      <c r="J10" s="8" t="n">
        <v>10</v>
      </c>
      <c r="K10" s="8" t="n">
        <v>0.8</v>
      </c>
      <c r="L10" s="8" t="n">
        <v>-3.8</v>
      </c>
      <c r="M10" s="8" t="n">
        <v>-9.9</v>
      </c>
      <c r="N10" s="9">
        <f>MIN(B10:M10)</f>
        <v/>
      </c>
    </row>
    <row r="11">
      <c r="A11" s="7" t="inlineStr">
        <is>
          <t>Sr. br. mraznih dana</t>
        </is>
      </c>
      <c r="B11" s="10" t="n">
        <v>29</v>
      </c>
      <c r="C11" s="10" t="n">
        <v>21</v>
      </c>
      <c r="D11" s="10" t="n">
        <v>12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7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3</v>
      </c>
      <c r="H12" s="10" t="n">
        <v>16</v>
      </c>
      <c r="I12" s="10" t="n">
        <v>14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79.8</v>
      </c>
      <c r="C14" s="8" t="n">
        <v>72.5</v>
      </c>
      <c r="D14" s="8" t="n">
        <v>74.5</v>
      </c>
      <c r="E14" s="8" t="n">
        <v>71.2</v>
      </c>
      <c r="F14" s="8" t="n">
        <v>75.2</v>
      </c>
      <c r="G14" s="8" t="n">
        <v>74.5</v>
      </c>
      <c r="H14" s="8" t="n">
        <v>65.7</v>
      </c>
      <c r="I14" s="8" t="n">
        <v>60.5</v>
      </c>
      <c r="J14" s="8" t="n">
        <v>76.3</v>
      </c>
      <c r="K14" s="8" t="n">
        <v>78.3</v>
      </c>
      <c r="L14" s="8" t="n">
        <v>80</v>
      </c>
      <c r="M14" s="8" t="n">
        <v>77.2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224</v>
      </c>
      <c r="C16" s="8" t="n">
        <v>200</v>
      </c>
      <c r="D16" s="8" t="n">
        <v>272.3</v>
      </c>
      <c r="E16" s="8" t="n">
        <v>295.7</v>
      </c>
      <c r="F16" s="8" t="n">
        <v>367.1</v>
      </c>
      <c r="G16" s="8" t="n">
        <v>375.5</v>
      </c>
      <c r="H16" s="8" t="n">
        <v>409.7</v>
      </c>
      <c r="I16" s="8" t="n">
        <v>402.1</v>
      </c>
      <c r="J16" s="8" t="n">
        <v>294.7</v>
      </c>
      <c r="K16" s="8" t="n">
        <v>295.5</v>
      </c>
      <c r="L16" s="8" t="n">
        <v>187.9</v>
      </c>
      <c r="M16" s="8" t="n">
        <v>143.6</v>
      </c>
      <c r="N16" s="9">
        <f>SUM(B16:M16)</f>
        <v/>
      </c>
    </row>
    <row r="17">
      <c r="A17" s="7" t="inlineStr">
        <is>
          <t>Broj vedrih dana</t>
        </is>
      </c>
      <c r="B17" s="10" t="n">
        <v>10</v>
      </c>
      <c r="C17" s="10" t="n">
        <v>9</v>
      </c>
      <c r="D17" s="10" t="n">
        <v>3</v>
      </c>
      <c r="E17" s="10" t="n">
        <v>3</v>
      </c>
      <c r="F17" s="10" t="n">
        <v>7</v>
      </c>
      <c r="G17" s="10" t="n">
        <v>10</v>
      </c>
      <c r="H17" s="10" t="n">
        <v>14</v>
      </c>
      <c r="I17" s="10" t="n">
        <v>22</v>
      </c>
      <c r="J17" s="10" t="n">
        <v>6</v>
      </c>
      <c r="K17" s="10" t="n">
        <v>12</v>
      </c>
      <c r="L17" s="10" t="n">
        <v>9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5</v>
      </c>
      <c r="C18" s="10" t="n">
        <v>8</v>
      </c>
      <c r="D18" s="10" t="n">
        <v>10</v>
      </c>
      <c r="E18" s="10" t="n">
        <v>12</v>
      </c>
      <c r="F18" s="10" t="n">
        <v>4</v>
      </c>
      <c r="G18" s="10" t="n">
        <v>5</v>
      </c>
      <c r="H18" s="10" t="n">
        <v>3</v>
      </c>
      <c r="I18" s="10" t="n">
        <v>1</v>
      </c>
      <c r="J18" s="10" t="n">
        <v>6</v>
      </c>
      <c r="K18" s="10" t="n">
        <v>4</v>
      </c>
      <c r="L18" s="10" t="n">
        <v>10</v>
      </c>
      <c r="M18" s="10" t="n">
        <v>15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149.2</v>
      </c>
      <c r="C20" s="8" t="n">
        <v>78.7</v>
      </c>
      <c r="D20" s="8" t="n">
        <v>122.8</v>
      </c>
      <c r="E20" s="8" t="n">
        <v>128.8</v>
      </c>
      <c r="F20" s="8" t="n">
        <v>105.6</v>
      </c>
      <c r="G20" s="8" t="n">
        <v>120.4</v>
      </c>
      <c r="H20" s="8" t="n">
        <v>47.2</v>
      </c>
      <c r="I20" s="8" t="n">
        <v>34.5</v>
      </c>
      <c r="J20" s="8" t="n">
        <v>167.2</v>
      </c>
      <c r="K20" s="8" t="n">
        <v>85.5</v>
      </c>
      <c r="L20" s="8" t="n">
        <v>203.7</v>
      </c>
      <c r="M20" s="8" t="n">
        <v>214</v>
      </c>
      <c r="N20" s="9">
        <f>SUM(B20:M20)</f>
        <v/>
      </c>
    </row>
    <row r="21">
      <c r="A21" s="7" t="inlineStr">
        <is>
          <t>Max. dnevna suma</t>
        </is>
      </c>
      <c r="B21" s="8" t="n">
        <v>46.1</v>
      </c>
      <c r="C21" s="8" t="n">
        <v>32.8</v>
      </c>
      <c r="D21" s="8" t="n">
        <v>27.9</v>
      </c>
      <c r="E21" s="8" t="n">
        <v>25.2</v>
      </c>
      <c r="F21" s="8" t="n">
        <v>23.7</v>
      </c>
      <c r="G21" s="8" t="n">
        <v>31.7</v>
      </c>
      <c r="H21" s="8" t="n">
        <v>8.699999999999999</v>
      </c>
      <c r="I21" s="8" t="n">
        <v>21.7</v>
      </c>
      <c r="J21" s="8" t="n">
        <v>55.6</v>
      </c>
      <c r="K21" s="8" t="n">
        <v>37</v>
      </c>
      <c r="L21" s="8" t="n">
        <v>43.7</v>
      </c>
      <c r="M21" s="8" t="n">
        <v>38.3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11</v>
      </c>
      <c r="C22" s="10" t="n">
        <v>13</v>
      </c>
      <c r="D22" s="10" t="n">
        <v>16</v>
      </c>
      <c r="E22" s="10" t="n">
        <v>20</v>
      </c>
      <c r="F22" s="10" t="n">
        <v>20</v>
      </c>
      <c r="G22" s="10" t="n">
        <v>18</v>
      </c>
      <c r="H22" s="10" t="n">
        <v>20</v>
      </c>
      <c r="I22" s="10" t="n">
        <v>8</v>
      </c>
      <c r="J22" s="10" t="n">
        <v>18</v>
      </c>
      <c r="K22" s="10" t="n">
        <v>9</v>
      </c>
      <c r="L22" s="10" t="n">
        <v>13</v>
      </c>
      <c r="M22" s="10" t="n">
        <v>20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6</v>
      </c>
      <c r="C23" s="10" t="n">
        <v>2</v>
      </c>
      <c r="D23" s="10" t="n">
        <v>4</v>
      </c>
      <c r="E23" s="10" t="n">
        <v>4</v>
      </c>
      <c r="F23" s="10" t="n">
        <v>5</v>
      </c>
      <c r="G23" s="10" t="n">
        <v>4</v>
      </c>
      <c r="H23" s="10" t="n">
        <v>0</v>
      </c>
      <c r="I23" s="10" t="n">
        <v>2</v>
      </c>
      <c r="J23" s="10" t="n">
        <v>5</v>
      </c>
      <c r="K23" s="10" t="n">
        <v>2</v>
      </c>
      <c r="L23" s="10" t="n">
        <v>7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2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4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2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1968.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-0.2</v>
      </c>
      <c r="C6" s="8" t="n">
        <v>6.4</v>
      </c>
      <c r="D6" s="8" t="n">
        <v>7.2</v>
      </c>
      <c r="E6" s="8" t="n">
        <v>13.3</v>
      </c>
      <c r="F6" s="8" t="n">
        <v>18.3</v>
      </c>
      <c r="G6" s="8" t="n">
        <v>19.5</v>
      </c>
      <c r="H6" s="8" t="n">
        <v>22.3</v>
      </c>
      <c r="I6" s="8" t="n">
        <v>19.7</v>
      </c>
      <c r="J6" s="8" t="n">
        <v>17.2</v>
      </c>
      <c r="K6" s="8" t="n">
        <v>12.8</v>
      </c>
      <c r="L6" s="8" t="n">
        <v>9.300000000000001</v>
      </c>
      <c r="M6" s="8" t="n">
        <v>3</v>
      </c>
      <c r="N6" s="9">
        <f>AVERAGE(B6:M6)</f>
        <v/>
      </c>
    </row>
    <row r="7">
      <c r="A7" s="7" t="inlineStr">
        <is>
          <t>Srednja maksimalna</t>
        </is>
      </c>
      <c r="B7" s="8" t="n">
        <v>4.7</v>
      </c>
      <c r="C7" s="8" t="n">
        <v>10.3</v>
      </c>
      <c r="D7" s="8" t="n">
        <v>12.6</v>
      </c>
      <c r="E7" s="8" t="n">
        <v>19.2</v>
      </c>
      <c r="F7" s="8" t="n">
        <v>23.7</v>
      </c>
      <c r="G7" s="8" t="n">
        <v>24.5</v>
      </c>
      <c r="H7" s="8" t="n">
        <v>28.1</v>
      </c>
      <c r="I7" s="8" t="n">
        <v>25</v>
      </c>
      <c r="J7" s="8" t="n">
        <v>22.4</v>
      </c>
      <c r="K7" s="8" t="n">
        <v>18.9</v>
      </c>
      <c r="L7" s="8" t="n">
        <v>13.6</v>
      </c>
      <c r="M7" s="8" t="n">
        <v>8.199999999999999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-5</v>
      </c>
      <c r="C8" s="8" t="n">
        <v>2.7</v>
      </c>
      <c r="D8" s="8" t="n">
        <v>1.3</v>
      </c>
      <c r="E8" s="8" t="n">
        <v>6.3</v>
      </c>
      <c r="F8" s="8" t="n">
        <v>12</v>
      </c>
      <c r="G8" s="8" t="n">
        <v>13.6</v>
      </c>
      <c r="H8" s="8" t="n">
        <v>14.7</v>
      </c>
      <c r="I8" s="8" t="n">
        <v>14.1</v>
      </c>
      <c r="J8" s="8" t="n">
        <v>12.1</v>
      </c>
      <c r="K8" s="8" t="n">
        <v>7.2</v>
      </c>
      <c r="L8" s="8" t="n">
        <v>5.4</v>
      </c>
      <c r="M8" s="8" t="n">
        <v>-0.8</v>
      </c>
      <c r="N8" s="9">
        <f>AVERAGE(B8:M8)</f>
        <v/>
      </c>
    </row>
    <row r="9">
      <c r="A9" s="7" t="inlineStr">
        <is>
          <t>Apsolutni maksimum</t>
        </is>
      </c>
      <c r="B9" s="8" t="n">
        <v>11</v>
      </c>
      <c r="C9" s="8" t="n">
        <v>15.9</v>
      </c>
      <c r="D9" s="8" t="n">
        <v>20.1</v>
      </c>
      <c r="E9" s="8" t="n">
        <v>24.7</v>
      </c>
      <c r="F9" s="8" t="n">
        <v>28.7</v>
      </c>
      <c r="G9" s="8" t="n">
        <v>29.3</v>
      </c>
      <c r="H9" s="8" t="n">
        <v>35.6</v>
      </c>
      <c r="I9" s="8" t="n">
        <v>29.8</v>
      </c>
      <c r="J9" s="8" t="n">
        <v>26.8</v>
      </c>
      <c r="K9" s="8" t="n">
        <v>23.3</v>
      </c>
      <c r="L9" s="8" t="n">
        <v>17.6</v>
      </c>
      <c r="M9" s="8" t="n">
        <v>13.2</v>
      </c>
      <c r="N9" s="9">
        <f>MAX(B9:M9)</f>
        <v/>
      </c>
    </row>
    <row r="10">
      <c r="A10" s="7" t="inlineStr">
        <is>
          <t>Apsolutni minimum</t>
        </is>
      </c>
      <c r="B10" s="8" t="n">
        <v>-16.9</v>
      </c>
      <c r="C10" s="8" t="n">
        <v>-3.9</v>
      </c>
      <c r="D10" s="8" t="n">
        <v>-4</v>
      </c>
      <c r="E10" s="8" t="n">
        <v>-2</v>
      </c>
      <c r="F10" s="8" t="n">
        <v>6.8</v>
      </c>
      <c r="G10" s="8" t="n">
        <v>10.5</v>
      </c>
      <c r="H10" s="8" t="n">
        <v>9.4</v>
      </c>
      <c r="I10" s="8" t="n">
        <v>8.4</v>
      </c>
      <c r="J10" s="8" t="n">
        <v>6.1</v>
      </c>
      <c r="K10" s="8" t="n">
        <v>0.1</v>
      </c>
      <c r="L10" s="8" t="n">
        <v>-3.6</v>
      </c>
      <c r="M10" s="8" t="n">
        <v>-6.4</v>
      </c>
      <c r="N10" s="9">
        <f>MIN(B10:M10)</f>
        <v/>
      </c>
    </row>
    <row r="11">
      <c r="A11" s="7" t="inlineStr">
        <is>
          <t>Sr. br. mraznih dana</t>
        </is>
      </c>
      <c r="B11" s="10" t="n">
        <v>27</v>
      </c>
      <c r="C11" s="10" t="n">
        <v>9</v>
      </c>
      <c r="D11" s="10" t="n">
        <v>11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23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11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74.09999999999999</v>
      </c>
      <c r="C14" s="8" t="n">
        <v>79.5</v>
      </c>
      <c r="D14" s="8" t="n">
        <v>72.3</v>
      </c>
      <c r="E14" s="8" t="n">
        <v>68.90000000000001</v>
      </c>
      <c r="F14" s="8" t="n">
        <v>66.09999999999999</v>
      </c>
      <c r="G14" s="8" t="n">
        <v>76.5</v>
      </c>
      <c r="H14" s="8" t="n">
        <v>59.5</v>
      </c>
      <c r="I14" s="8" t="n">
        <v>72.7</v>
      </c>
      <c r="J14" s="8" t="n">
        <v>77.90000000000001</v>
      </c>
      <c r="K14" s="8" t="n">
        <v>77.09999999999999</v>
      </c>
      <c r="L14" s="8" t="n">
        <v>84.3</v>
      </c>
      <c r="M14" s="8" t="n">
        <v>77.40000000000001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201.2</v>
      </c>
      <c r="C16" s="8" t="n">
        <v>173.1</v>
      </c>
      <c r="D16" s="8" t="n">
        <v>311.7</v>
      </c>
      <c r="E16" s="8" t="n">
        <v>343.2</v>
      </c>
      <c r="F16" s="8" t="n">
        <v>365.8</v>
      </c>
      <c r="G16" s="8" t="n">
        <v>354.8</v>
      </c>
      <c r="H16" s="8" t="n">
        <v>428.8</v>
      </c>
      <c r="I16" s="8" t="n">
        <v>350.7</v>
      </c>
      <c r="J16" s="8" t="n">
        <v>280.2</v>
      </c>
      <c r="K16" s="8" t="n">
        <v>291.7</v>
      </c>
      <c r="L16" s="8" t="n">
        <v>173.2</v>
      </c>
      <c r="M16" s="8" t="n">
        <v>180.3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3</v>
      </c>
      <c r="D17" s="10" t="n">
        <v>11</v>
      </c>
      <c r="E17" s="10" t="n">
        <v>11</v>
      </c>
      <c r="F17" s="10" t="n">
        <v>1</v>
      </c>
      <c r="G17" s="10" t="n">
        <v>4</v>
      </c>
      <c r="H17" s="10" t="n">
        <v>20</v>
      </c>
      <c r="I17" s="10" t="n">
        <v>7</v>
      </c>
      <c r="J17" s="10" t="n">
        <v>5</v>
      </c>
      <c r="K17" s="10" t="n">
        <v>12</v>
      </c>
      <c r="L17" s="10" t="n">
        <v>2</v>
      </c>
      <c r="M17" s="10" t="n">
        <v>7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19</v>
      </c>
      <c r="D18" s="10" t="n">
        <v>8</v>
      </c>
      <c r="E18" s="10" t="n">
        <v>5</v>
      </c>
      <c r="F18" s="10" t="n">
        <v>8</v>
      </c>
      <c r="G18" s="10" t="n">
        <v>8</v>
      </c>
      <c r="H18" s="10" t="n">
        <v>0</v>
      </c>
      <c r="I18" s="10" t="n">
        <v>3</v>
      </c>
      <c r="J18" s="10" t="n">
        <v>5</v>
      </c>
      <c r="K18" s="10" t="n">
        <v>3</v>
      </c>
      <c r="L18" s="10" t="n">
        <v>13</v>
      </c>
      <c r="M18" s="10" t="n">
        <v>14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146.1</v>
      </c>
      <c r="C20" s="8" t="n">
        <v>127.8</v>
      </c>
      <c r="D20" s="8" t="n">
        <v>130.2</v>
      </c>
      <c r="E20" s="8" t="n">
        <v>55.3</v>
      </c>
      <c r="F20" s="8" t="n">
        <v>71.90000000000001</v>
      </c>
      <c r="G20" s="8" t="n">
        <v>127.6</v>
      </c>
      <c r="H20" s="8" t="n">
        <v>25</v>
      </c>
      <c r="I20" s="8" t="n">
        <v>144.2</v>
      </c>
      <c r="J20" s="8" t="n">
        <v>208</v>
      </c>
      <c r="K20" s="8" t="n">
        <v>29.5</v>
      </c>
      <c r="L20" s="8" t="n">
        <v>437.1</v>
      </c>
      <c r="M20" s="8" t="n">
        <v>196.8</v>
      </c>
      <c r="N20" s="9">
        <f>SUM(B20:M20)</f>
        <v/>
      </c>
    </row>
    <row r="21">
      <c r="A21" s="7" t="inlineStr">
        <is>
          <t>Max. dnevna suma</t>
        </is>
      </c>
      <c r="B21" s="8" t="n">
        <v>23.3</v>
      </c>
      <c r="C21" s="8" t="n">
        <v>20</v>
      </c>
      <c r="D21" s="8" t="n">
        <v>29.1</v>
      </c>
      <c r="E21" s="8" t="n">
        <v>16.7</v>
      </c>
      <c r="F21" s="8" t="n">
        <v>23.2</v>
      </c>
      <c r="G21" s="8" t="n">
        <v>31.8</v>
      </c>
      <c r="H21" s="8" t="n">
        <v>17.5</v>
      </c>
      <c r="I21" s="8" t="n">
        <v>27.6</v>
      </c>
      <c r="J21" s="8" t="n">
        <v>48.1</v>
      </c>
      <c r="K21" s="8" t="n">
        <v>16.2</v>
      </c>
      <c r="L21" s="8" t="n">
        <v>95.2</v>
      </c>
      <c r="M21" s="8" t="n">
        <v>75.09999999999999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21</v>
      </c>
      <c r="D22" s="10" t="n">
        <v>14</v>
      </c>
      <c r="E22" s="10" t="n">
        <v>13</v>
      </c>
      <c r="F22" s="10" t="n">
        <v>20</v>
      </c>
      <c r="G22" s="10" t="n">
        <v>19</v>
      </c>
      <c r="H22" s="10" t="n">
        <v>8</v>
      </c>
      <c r="I22" s="10" t="n">
        <v>20</v>
      </c>
      <c r="J22" s="10" t="n">
        <v>17</v>
      </c>
      <c r="K22" s="10" t="n">
        <v>6</v>
      </c>
      <c r="L22" s="10" t="n">
        <v>20</v>
      </c>
      <c r="M22" s="10" t="n">
        <v>20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6</v>
      </c>
      <c r="C23" s="10" t="n">
        <v>4</v>
      </c>
      <c r="D23" s="10" t="n">
        <v>5</v>
      </c>
      <c r="E23" s="10" t="n">
        <v>2</v>
      </c>
      <c r="F23" s="10" t="n">
        <v>1</v>
      </c>
      <c r="G23" s="10" t="n">
        <v>3</v>
      </c>
      <c r="H23" s="10" t="n">
        <v>1</v>
      </c>
      <c r="I23" s="10" t="n">
        <v>5</v>
      </c>
      <c r="J23" s="10" t="n">
        <v>6</v>
      </c>
      <c r="K23" s="10" t="n">
        <v>1</v>
      </c>
      <c r="L23" s="10" t="n">
        <v>10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12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6</v>
      </c>
      <c r="N25" s="11">
        <f>SUM(B25:M25)</f>
        <v/>
      </c>
    </row>
    <row r="26">
      <c r="A26" s="7" t="inlineStr">
        <is>
          <t>snežnim pokrivačem</t>
        </is>
      </c>
      <c r="B26" s="10" t="n">
        <v>12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6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1969.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2.4</v>
      </c>
      <c r="C6" s="8" t="n">
        <v>4.8</v>
      </c>
      <c r="D6" s="8" t="n">
        <v>7.1</v>
      </c>
      <c r="E6" s="8" t="n">
        <v>10.7</v>
      </c>
      <c r="F6" s="8" t="n">
        <v>17.9</v>
      </c>
      <c r="G6" s="8" t="n">
        <v>18.4</v>
      </c>
      <c r="H6" s="8" t="n">
        <v>21.2</v>
      </c>
      <c r="I6" s="8" t="n">
        <v>21.1</v>
      </c>
      <c r="J6" s="8" t="n">
        <v>18.4</v>
      </c>
      <c r="K6" s="8" t="n">
        <v>12.7</v>
      </c>
      <c r="L6" s="8" t="n">
        <v>10.1</v>
      </c>
      <c r="M6" s="8" t="n">
        <v>2.1</v>
      </c>
      <c r="N6" s="9">
        <f>AVERAGE(B6:M6)</f>
        <v/>
      </c>
    </row>
    <row r="7">
      <c r="A7" s="7" t="inlineStr">
        <is>
          <t>Srednja maksimalna</t>
        </is>
      </c>
      <c r="B7" s="8" t="n">
        <v>7.4</v>
      </c>
      <c r="C7" s="8" t="n">
        <v>8.699999999999999</v>
      </c>
      <c r="D7" s="8" t="n">
        <v>11.7</v>
      </c>
      <c r="E7" s="8" t="n">
        <v>16.2</v>
      </c>
      <c r="F7" s="8" t="n">
        <v>23.2</v>
      </c>
      <c r="G7" s="8" t="n">
        <v>23.1</v>
      </c>
      <c r="H7" s="8" t="n">
        <v>27.1</v>
      </c>
      <c r="I7" s="8" t="n">
        <v>26.3</v>
      </c>
      <c r="J7" s="8" t="n">
        <v>23.8</v>
      </c>
      <c r="K7" s="8" t="n">
        <v>20.1</v>
      </c>
      <c r="L7" s="8" t="n">
        <v>14.2</v>
      </c>
      <c r="M7" s="8" t="n">
        <v>5.9</v>
      </c>
      <c r="N7" s="9">
        <f>AVERAGE(B7:M7)</f>
        <v/>
      </c>
    </row>
    <row r="8">
      <c r="A8" s="7" t="inlineStr">
        <is>
          <t>Srednja minimalna</t>
        </is>
      </c>
      <c r="B8" s="8" t="n">
        <v>-1.8</v>
      </c>
      <c r="C8" s="8" t="n">
        <v>0.9</v>
      </c>
      <c r="D8" s="8" t="n">
        <v>2.6</v>
      </c>
      <c r="E8" s="8" t="n">
        <v>4.2</v>
      </c>
      <c r="F8" s="8" t="n">
        <v>11.5</v>
      </c>
      <c r="G8" s="8" t="n">
        <v>12.6</v>
      </c>
      <c r="H8" s="8" t="n">
        <v>13.9</v>
      </c>
      <c r="I8" s="8" t="n">
        <v>15</v>
      </c>
      <c r="J8" s="8" t="n">
        <v>13.1</v>
      </c>
      <c r="K8" s="8" t="n">
        <v>6.4</v>
      </c>
      <c r="L8" s="8" t="n">
        <v>5.8</v>
      </c>
      <c r="M8" s="8" t="n">
        <v>-1.1</v>
      </c>
      <c r="N8" s="9">
        <f>AVERAGE(B8:M8)</f>
        <v/>
      </c>
    </row>
    <row r="9">
      <c r="A9" s="7" t="inlineStr">
        <is>
          <t>Apsolutni maksimum</t>
        </is>
      </c>
      <c r="B9" s="8" t="n">
        <v>11.7</v>
      </c>
      <c r="C9" s="8" t="n">
        <v>12.4</v>
      </c>
      <c r="D9" s="8" t="n">
        <v>15.7</v>
      </c>
      <c r="E9" s="8" t="n">
        <v>23</v>
      </c>
      <c r="F9" s="8" t="n">
        <v>27.8</v>
      </c>
      <c r="G9" s="8" t="n">
        <v>27.9</v>
      </c>
      <c r="H9" s="8" t="n">
        <v>31.7</v>
      </c>
      <c r="I9" s="8" t="n">
        <v>31.7</v>
      </c>
      <c r="J9" s="8" t="n">
        <v>30.3</v>
      </c>
      <c r="K9" s="8" t="n">
        <v>22.8</v>
      </c>
      <c r="L9" s="8" t="n">
        <v>17.5</v>
      </c>
      <c r="M9" s="8" t="n">
        <v>10.5</v>
      </c>
      <c r="N9" s="9">
        <f>MAX(B9:M9)</f>
        <v/>
      </c>
    </row>
    <row r="10">
      <c r="A10" s="7" t="inlineStr">
        <is>
          <t>Apsolutni minimum</t>
        </is>
      </c>
      <c r="B10" s="8" t="n">
        <v>-6.1</v>
      </c>
      <c r="C10" s="8" t="n">
        <v>-8.6</v>
      </c>
      <c r="D10" s="8" t="n">
        <v>-2.9</v>
      </c>
      <c r="E10" s="8" t="n">
        <v>-2.1</v>
      </c>
      <c r="F10" s="8" t="n">
        <v>7</v>
      </c>
      <c r="G10" s="8" t="n">
        <v>8.4</v>
      </c>
      <c r="H10" s="8" t="n">
        <v>9.6</v>
      </c>
      <c r="I10" s="8" t="n">
        <v>12.4</v>
      </c>
      <c r="J10" s="8" t="n">
        <v>8.699999999999999</v>
      </c>
      <c r="K10" s="8" t="n">
        <v>2.7</v>
      </c>
      <c r="L10" s="8" t="n">
        <v>-3.6</v>
      </c>
      <c r="M10" s="8" t="n">
        <v>-6.4</v>
      </c>
      <c r="N10" s="9">
        <f>MIN(B10:M10)</f>
        <v/>
      </c>
    </row>
    <row r="11">
      <c r="A11" s="7" t="inlineStr">
        <is>
          <t>Sr. br. mraznih dana</t>
        </is>
      </c>
      <c r="B11" s="10" t="n">
        <v>22</v>
      </c>
      <c r="C11" s="10" t="n">
        <v>12</v>
      </c>
      <c r="D11" s="10" t="n">
        <v>9</v>
      </c>
      <c r="E11" s="10" t="n">
        <v>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20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9</v>
      </c>
      <c r="I12" s="10" t="n">
        <v>6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75</v>
      </c>
      <c r="C14" s="8" t="n">
        <v>83.8</v>
      </c>
      <c r="D14" s="8" t="n">
        <v>78.3</v>
      </c>
      <c r="E14" s="8" t="n">
        <v>72.7</v>
      </c>
      <c r="F14" s="8" t="n">
        <v>72.09999999999999</v>
      </c>
      <c r="G14" s="8" t="n">
        <v>76.09999999999999</v>
      </c>
      <c r="H14" s="8" t="n">
        <v>64</v>
      </c>
      <c r="I14" s="8" t="n">
        <v>69.59999999999999</v>
      </c>
      <c r="J14" s="8" t="n">
        <v>79.40000000000001</v>
      </c>
      <c r="K14" s="8" t="n">
        <v>71.7</v>
      </c>
      <c r="L14" s="8" t="n">
        <v>84.2</v>
      </c>
      <c r="M14" s="8" t="n">
        <v>80.90000000000001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210.1</v>
      </c>
      <c r="C16" s="8" t="n">
        <v>152.5</v>
      </c>
      <c r="D16" s="8" t="n">
        <v>226.9</v>
      </c>
      <c r="E16" s="8" t="n">
        <v>323.9</v>
      </c>
      <c r="F16" s="8" t="n">
        <v>372.8</v>
      </c>
      <c r="G16" s="8" t="n">
        <v>356.4</v>
      </c>
      <c r="H16" s="8" t="n">
        <v>416.7</v>
      </c>
      <c r="I16" s="8" t="n">
        <v>353.5</v>
      </c>
      <c r="J16" s="8" t="n">
        <v>287.8</v>
      </c>
      <c r="K16" s="8" t="n">
        <v>316.2</v>
      </c>
      <c r="L16" s="8" t="n">
        <v>177.6</v>
      </c>
      <c r="M16" s="8" t="n">
        <v>135.2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1</v>
      </c>
      <c r="D17" s="10" t="n">
        <v>2</v>
      </c>
      <c r="E17" s="10" t="n">
        <v>6</v>
      </c>
      <c r="F17" s="10" t="n">
        <v>6</v>
      </c>
      <c r="G17" s="10" t="n">
        <v>2</v>
      </c>
      <c r="H17" s="10" t="n">
        <v>16</v>
      </c>
      <c r="I17" s="10" t="n">
        <v>14</v>
      </c>
      <c r="J17" s="10" t="n">
        <v>8</v>
      </c>
      <c r="K17" s="10" t="n">
        <v>17</v>
      </c>
      <c r="L17" s="10" t="n">
        <v>5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18</v>
      </c>
      <c r="D18" s="10" t="n">
        <v>18</v>
      </c>
      <c r="E18" s="10" t="n">
        <v>8</v>
      </c>
      <c r="F18" s="10" t="n">
        <v>7</v>
      </c>
      <c r="G18" s="10" t="n">
        <v>4</v>
      </c>
      <c r="H18" s="10" t="n">
        <v>1</v>
      </c>
      <c r="I18" s="10" t="n">
        <v>3</v>
      </c>
      <c r="J18" s="10" t="n">
        <v>5</v>
      </c>
      <c r="K18" s="10" t="n">
        <v>1</v>
      </c>
      <c r="L18" s="10" t="n">
        <v>13</v>
      </c>
      <c r="M18" s="10" t="n">
        <v>22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152.3</v>
      </c>
      <c r="C20" s="8" t="n">
        <v>333.8</v>
      </c>
      <c r="D20" s="8" t="n">
        <v>173.4</v>
      </c>
      <c r="E20" s="8" t="n">
        <v>114.6</v>
      </c>
      <c r="F20" s="8" t="n">
        <v>91</v>
      </c>
      <c r="G20" s="8" t="n">
        <v>248.5</v>
      </c>
      <c r="H20" s="8" t="n">
        <v>49.8</v>
      </c>
      <c r="I20" s="8" t="n">
        <v>317</v>
      </c>
      <c r="J20" s="8" t="n">
        <v>215</v>
      </c>
      <c r="K20" s="8" t="n">
        <v>1.9</v>
      </c>
      <c r="L20" s="8" t="n">
        <v>290.1</v>
      </c>
      <c r="M20" s="8" t="n">
        <v>267</v>
      </c>
      <c r="N20" s="9">
        <f>SUM(B20:M20)</f>
        <v/>
      </c>
    </row>
    <row r="21">
      <c r="A21" s="7" t="inlineStr">
        <is>
          <t>Max. dnevna suma</t>
        </is>
      </c>
      <c r="B21" s="8" t="n">
        <v>59.5</v>
      </c>
      <c r="C21" s="8" t="n">
        <v>50.5</v>
      </c>
      <c r="D21" s="8" t="n">
        <v>25.2</v>
      </c>
      <c r="E21" s="8" t="n">
        <v>29.7</v>
      </c>
      <c r="F21" s="8" t="n">
        <v>24.5</v>
      </c>
      <c r="G21" s="8" t="n">
        <v>94.8</v>
      </c>
      <c r="H21" s="8" t="n">
        <v>14.5</v>
      </c>
      <c r="I21" s="8" t="n">
        <v>122.2</v>
      </c>
      <c r="J21" s="8" t="n">
        <v>88.8</v>
      </c>
      <c r="K21" s="8" t="n">
        <v>1.2</v>
      </c>
      <c r="L21" s="8" t="n">
        <v>51.9</v>
      </c>
      <c r="M21" s="8" t="n">
        <v>53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11</v>
      </c>
      <c r="C22" s="10" t="n">
        <v>24</v>
      </c>
      <c r="D22" s="10" t="n">
        <v>24</v>
      </c>
      <c r="E22" s="10" t="n">
        <v>20</v>
      </c>
      <c r="F22" s="10" t="n">
        <v>12</v>
      </c>
      <c r="G22" s="10" t="n">
        <v>19</v>
      </c>
      <c r="H22" s="10" t="n">
        <v>15</v>
      </c>
      <c r="I22" s="10" t="n">
        <v>15</v>
      </c>
      <c r="J22" s="10" t="n">
        <v>17</v>
      </c>
      <c r="K22" s="10" t="n">
        <v>3</v>
      </c>
      <c r="L22" s="10" t="n">
        <v>22</v>
      </c>
      <c r="M22" s="10" t="n">
        <v>25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10</v>
      </c>
      <c r="D23" s="10" t="n">
        <v>7</v>
      </c>
      <c r="E23" s="10" t="n">
        <v>4</v>
      </c>
      <c r="F23" s="10" t="n">
        <v>5</v>
      </c>
      <c r="G23" s="10" t="n">
        <v>7</v>
      </c>
      <c r="H23" s="10" t="n">
        <v>2</v>
      </c>
      <c r="I23" s="10" t="n">
        <v>8</v>
      </c>
      <c r="J23" s="10" t="n">
        <v>6</v>
      </c>
      <c r="K23" s="10" t="n">
        <v>0</v>
      </c>
      <c r="L23" s="10" t="n">
        <v>11</v>
      </c>
      <c r="M23" s="10" t="n">
        <v>9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6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6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1970.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5.3</v>
      </c>
      <c r="C6" s="8" t="n">
        <v>3.3</v>
      </c>
      <c r="D6" s="8" t="n">
        <v>6.6</v>
      </c>
      <c r="E6" s="8" t="n">
        <v>11</v>
      </c>
      <c r="F6" s="8" t="n">
        <v>13.5</v>
      </c>
      <c r="G6" s="8" t="n">
        <v>20</v>
      </c>
      <c r="H6" s="8" t="n">
        <v>22.2</v>
      </c>
      <c r="I6" s="8" t="n">
        <v>22.4</v>
      </c>
      <c r="J6" s="8" t="n">
        <v>18.5</v>
      </c>
      <c r="K6" s="8" t="n">
        <v>11.9</v>
      </c>
      <c r="L6" s="8" t="n">
        <v>8.6</v>
      </c>
      <c r="M6" s="8" t="n">
        <v>4.1</v>
      </c>
      <c r="N6" s="9">
        <f>AVERAGE(B6:M6)</f>
        <v/>
      </c>
    </row>
    <row r="7">
      <c r="A7" s="7" t="inlineStr">
        <is>
          <t>Srednja maksimalna</t>
        </is>
      </c>
      <c r="B7" s="8" t="n">
        <v>8.9</v>
      </c>
      <c r="C7" s="8" t="n">
        <v>8</v>
      </c>
      <c r="D7" s="8" t="n">
        <v>11.4</v>
      </c>
      <c r="E7" s="8" t="n">
        <v>15.9</v>
      </c>
      <c r="F7" s="8" t="n">
        <v>18.7</v>
      </c>
      <c r="G7" s="8" t="n">
        <v>25.4</v>
      </c>
      <c r="H7" s="8" t="n">
        <v>27.8</v>
      </c>
      <c r="I7" s="8" t="n">
        <v>28</v>
      </c>
      <c r="J7" s="8" t="n">
        <v>25.2</v>
      </c>
      <c r="K7" s="8" t="n">
        <v>17.7</v>
      </c>
      <c r="L7" s="8" t="n">
        <v>13.8</v>
      </c>
      <c r="M7" s="8" t="n">
        <v>9.199999999999999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1.7</v>
      </c>
      <c r="C8" s="8" t="n">
        <v>-1.8</v>
      </c>
      <c r="D8" s="8" t="n">
        <v>1.4</v>
      </c>
      <c r="E8" s="8" t="n">
        <v>5.2</v>
      </c>
      <c r="F8" s="8" t="n">
        <v>7.3</v>
      </c>
      <c r="G8" s="8" t="n">
        <v>12.8</v>
      </c>
      <c r="H8" s="8" t="n">
        <v>15.2</v>
      </c>
      <c r="I8" s="8" t="n">
        <v>15.7</v>
      </c>
      <c r="J8" s="8" t="n">
        <v>11.5</v>
      </c>
      <c r="K8" s="8" t="n">
        <v>6.2</v>
      </c>
      <c r="L8" s="8" t="n">
        <v>4.1</v>
      </c>
      <c r="M8" s="8" t="n">
        <v>-0.1</v>
      </c>
      <c r="N8" s="9">
        <f>AVERAGE(B8:M8)</f>
        <v/>
      </c>
    </row>
    <row r="9">
      <c r="A9" s="7" t="inlineStr">
        <is>
          <t>Apsolutni maksimum</t>
        </is>
      </c>
      <c r="B9" s="8" t="n">
        <v>13.7</v>
      </c>
      <c r="C9" s="8" t="n">
        <v>12.7</v>
      </c>
      <c r="D9" s="8" t="n">
        <v>16.2</v>
      </c>
      <c r="E9" s="8" t="n">
        <v>23.4</v>
      </c>
      <c r="F9" s="8" t="n">
        <v>23.3</v>
      </c>
      <c r="G9" s="8" t="n">
        <v>29.9</v>
      </c>
      <c r="H9" s="8" t="n">
        <v>33.6</v>
      </c>
      <c r="I9" s="8" t="n">
        <v>33.9</v>
      </c>
      <c r="J9" s="8" t="n">
        <v>30.4</v>
      </c>
      <c r="K9" s="8" t="n">
        <v>25.6</v>
      </c>
      <c r="L9" s="8" t="n">
        <v>17.7</v>
      </c>
      <c r="M9" s="8" t="n">
        <v>14</v>
      </c>
      <c r="N9" s="9">
        <f>MAX(B9:M9)</f>
        <v/>
      </c>
    </row>
    <row r="10">
      <c r="A10" s="7" t="inlineStr">
        <is>
          <t>Apsolutni minimum</t>
        </is>
      </c>
      <c r="B10" s="8" t="n">
        <v>-4.7</v>
      </c>
      <c r="C10" s="8" t="n">
        <v>-16.9</v>
      </c>
      <c r="D10" s="8" t="n">
        <v>-6.3</v>
      </c>
      <c r="E10" s="8" t="n">
        <v>-1.8</v>
      </c>
      <c r="F10" s="8" t="n">
        <v>0.7</v>
      </c>
      <c r="G10" s="8" t="n">
        <v>6</v>
      </c>
      <c r="H10" s="8" t="n">
        <v>9.199999999999999</v>
      </c>
      <c r="I10" s="8" t="n">
        <v>10.4</v>
      </c>
      <c r="J10" s="8" t="n">
        <v>3</v>
      </c>
      <c r="K10" s="8" t="n">
        <v>-0.7</v>
      </c>
      <c r="L10" s="8" t="n">
        <v>-1.5</v>
      </c>
      <c r="M10" s="8" t="n">
        <v>-4.8</v>
      </c>
      <c r="N10" s="9">
        <f>MIN(B10:M10)</f>
        <v/>
      </c>
    </row>
    <row r="11">
      <c r="A11" s="7" t="inlineStr">
        <is>
          <t>Sr. br. mraznih dana</t>
        </is>
      </c>
      <c r="B11" s="10" t="n">
        <v>14</v>
      </c>
      <c r="C11" s="10" t="n">
        <v>17</v>
      </c>
      <c r="D11" s="10" t="n">
        <v>14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3</v>
      </c>
      <c r="M11" s="10" t="n">
        <v>19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14</v>
      </c>
      <c r="I12" s="10" t="n">
        <v>15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83.40000000000001</v>
      </c>
      <c r="C14" s="8" t="n">
        <v>78.2</v>
      </c>
      <c r="D14" s="8" t="n">
        <v>74</v>
      </c>
      <c r="E14" s="8" t="n">
        <v>74.90000000000001</v>
      </c>
      <c r="F14" s="8" t="n">
        <v>70.8</v>
      </c>
      <c r="G14" s="8" t="n">
        <v>69.09999999999999</v>
      </c>
      <c r="H14" s="8" t="n">
        <v>63.2</v>
      </c>
      <c r="I14" s="8" t="n">
        <v>66.7</v>
      </c>
      <c r="J14" s="8" t="n">
        <v>64.40000000000001</v>
      </c>
      <c r="K14" s="8" t="n">
        <v>75.5</v>
      </c>
      <c r="L14" s="8" t="n">
        <v>84.7</v>
      </c>
      <c r="M14" s="8" t="n">
        <v>80.7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136.2</v>
      </c>
      <c r="C16" s="8" t="n">
        <v>197.7</v>
      </c>
      <c r="D16" s="8" t="n">
        <v>257.6</v>
      </c>
      <c r="E16" s="8" t="n">
        <v>319</v>
      </c>
      <c r="F16" s="8" t="n">
        <v>386.1</v>
      </c>
      <c r="G16" s="8" t="n">
        <v>386.4</v>
      </c>
      <c r="H16" s="8" t="n">
        <v>417.7</v>
      </c>
      <c r="I16" s="8" t="n">
        <v>373.9</v>
      </c>
      <c r="J16" s="8" t="n">
        <v>344.7</v>
      </c>
      <c r="K16" s="8" t="n">
        <v>273.1</v>
      </c>
      <c r="L16" s="8" t="n">
        <v>205.2</v>
      </c>
      <c r="M16" s="8" t="n">
        <v>188.1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2</v>
      </c>
      <c r="D17" s="10" t="n">
        <v>4</v>
      </c>
      <c r="E17" s="10" t="n">
        <v>0</v>
      </c>
      <c r="F17" s="10" t="n">
        <v>2</v>
      </c>
      <c r="G17" s="10" t="n">
        <v>10</v>
      </c>
      <c r="H17" s="10" t="n">
        <v>18</v>
      </c>
      <c r="I17" s="10" t="n">
        <v>13</v>
      </c>
      <c r="J17" s="10" t="n">
        <v>22</v>
      </c>
      <c r="K17" s="10" t="n">
        <v>10</v>
      </c>
      <c r="L17" s="10" t="n">
        <v>5</v>
      </c>
      <c r="M17" s="10" t="n">
        <v>8</v>
      </c>
      <c r="N17" s="11">
        <f>SUM(B17:M17)</f>
        <v/>
      </c>
    </row>
    <row r="18">
      <c r="A18" s="7" t="inlineStr">
        <is>
          <t>Broj oblačnih dana</t>
        </is>
      </c>
      <c r="B18" s="10" t="n">
        <v>19</v>
      </c>
      <c r="C18" s="10" t="n">
        <v>13</v>
      </c>
      <c r="D18" s="10" t="n">
        <v>11</v>
      </c>
      <c r="E18" s="10" t="n">
        <v>8</v>
      </c>
      <c r="F18" s="10" t="n">
        <v>3</v>
      </c>
      <c r="G18" s="10" t="n">
        <v>2</v>
      </c>
      <c r="H18" s="10" t="n">
        <v>0</v>
      </c>
      <c r="I18" s="10" t="n">
        <v>3</v>
      </c>
      <c r="J18" s="10" t="n">
        <v>1</v>
      </c>
      <c r="K18" s="10" t="n">
        <v>6</v>
      </c>
      <c r="L18" s="10" t="n">
        <v>12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285.5</v>
      </c>
      <c r="C20" s="8" t="n">
        <v>167.2</v>
      </c>
      <c r="D20" s="8" t="n">
        <v>204.3</v>
      </c>
      <c r="E20" s="8" t="n">
        <v>235.1</v>
      </c>
      <c r="F20" s="8" t="n">
        <v>99.7</v>
      </c>
      <c r="G20" s="8" t="n">
        <v>49.9</v>
      </c>
      <c r="H20" s="8" t="n">
        <v>44</v>
      </c>
      <c r="I20" s="8" t="n">
        <v>110.1</v>
      </c>
      <c r="J20" s="8" t="n">
        <v>1.3</v>
      </c>
      <c r="K20" s="8" t="n">
        <v>112.7</v>
      </c>
      <c r="L20" s="8" t="n">
        <v>184.5</v>
      </c>
      <c r="M20" s="8" t="n">
        <v>196.6</v>
      </c>
      <c r="N20" s="9">
        <f>SUM(B20:M20)</f>
        <v/>
      </c>
    </row>
    <row r="21">
      <c r="A21" s="7" t="inlineStr">
        <is>
          <t>Max. dnevna suma</t>
        </is>
      </c>
      <c r="B21" s="8" t="n">
        <v>47.1</v>
      </c>
      <c r="C21" s="8" t="n">
        <v>29.1</v>
      </c>
      <c r="D21" s="8" t="n">
        <v>44.7</v>
      </c>
      <c r="E21" s="8" t="n">
        <v>47.8</v>
      </c>
      <c r="F21" s="8" t="n">
        <v>27.8</v>
      </c>
      <c r="G21" s="8" t="n">
        <v>31.7</v>
      </c>
      <c r="H21" s="8" t="n">
        <v>24.4</v>
      </c>
      <c r="I21" s="8" t="n">
        <v>27.5</v>
      </c>
      <c r="J21" s="8" t="n">
        <v>0.9</v>
      </c>
      <c r="K21" s="8" t="n">
        <v>34.6</v>
      </c>
      <c r="L21" s="8" t="n">
        <v>41.3</v>
      </c>
      <c r="M21" s="8" t="n">
        <v>40.4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22</v>
      </c>
      <c r="C22" s="10" t="n">
        <v>22</v>
      </c>
      <c r="D22" s="10" t="n">
        <v>19</v>
      </c>
      <c r="E22" s="10" t="n">
        <v>19</v>
      </c>
      <c r="F22" s="10" t="n">
        <v>25</v>
      </c>
      <c r="G22" s="10" t="n">
        <v>14</v>
      </c>
      <c r="H22" s="10" t="n">
        <v>14</v>
      </c>
      <c r="I22" s="10" t="n">
        <v>12</v>
      </c>
      <c r="J22" s="10" t="n">
        <v>5</v>
      </c>
      <c r="K22" s="10" t="n">
        <v>10</v>
      </c>
      <c r="L22" s="10" t="n">
        <v>16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10</v>
      </c>
      <c r="C23" s="10" t="n">
        <v>7</v>
      </c>
      <c r="D23" s="10" t="n">
        <v>8</v>
      </c>
      <c r="E23" s="10" t="n">
        <v>6</v>
      </c>
      <c r="F23" s="10" t="n">
        <v>3</v>
      </c>
      <c r="G23" s="10" t="n">
        <v>2</v>
      </c>
      <c r="H23" s="10" t="n">
        <v>1</v>
      </c>
      <c r="I23" s="10" t="n">
        <v>4</v>
      </c>
      <c r="J23" s="10" t="n">
        <v>0</v>
      </c>
      <c r="K23" s="10" t="n">
        <v>4</v>
      </c>
      <c r="L23" s="10" t="n">
        <v>7</v>
      </c>
      <c r="M23" s="10" t="n">
        <v>7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6</v>
      </c>
      <c r="D25" s="10" t="n">
        <v>3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6</v>
      </c>
      <c r="D26" s="10" t="n">
        <v>3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1971.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5.1</v>
      </c>
      <c r="C6" s="8" t="n">
        <v>3.8</v>
      </c>
      <c r="D6" s="8" t="n">
        <v>3.7</v>
      </c>
      <c r="E6" s="8" t="n">
        <v>11.8</v>
      </c>
      <c r="F6" s="8" t="n">
        <v>17</v>
      </c>
      <c r="G6" s="8" t="n">
        <v>18.8</v>
      </c>
      <c r="H6" s="8" t="n">
        <v>22</v>
      </c>
      <c r="I6" s="8" t="n">
        <v>24.3</v>
      </c>
      <c r="J6" s="8" t="n">
        <v>16.2</v>
      </c>
      <c r="K6" s="8" t="n">
        <v>11.3</v>
      </c>
      <c r="L6" s="8" t="n">
        <v>7.7</v>
      </c>
      <c r="M6" s="8" t="n">
        <v>3.7</v>
      </c>
      <c r="N6" s="9">
        <f>AVERAGE(B6:M6)</f>
        <v/>
      </c>
    </row>
    <row r="7">
      <c r="A7" s="7" t="inlineStr">
        <is>
          <t>Srednja maksimalna</t>
        </is>
      </c>
      <c r="B7" s="8" t="n">
        <v>9.199999999999999</v>
      </c>
      <c r="C7" s="8" t="n">
        <v>9</v>
      </c>
      <c r="D7" s="8" t="n">
        <v>8.6</v>
      </c>
      <c r="E7" s="8" t="n">
        <v>16.9</v>
      </c>
      <c r="F7" s="8" t="n">
        <v>22.2</v>
      </c>
      <c r="G7" s="8" t="n">
        <v>23.5</v>
      </c>
      <c r="H7" s="8" t="n">
        <v>28</v>
      </c>
      <c r="I7" s="8" t="n">
        <v>30.4</v>
      </c>
      <c r="J7" s="8" t="n">
        <v>21.3</v>
      </c>
      <c r="K7" s="8" t="n">
        <v>17.6</v>
      </c>
      <c r="L7" s="8" t="n">
        <v>12.4</v>
      </c>
      <c r="M7" s="8" t="n">
        <v>10.1</v>
      </c>
      <c r="N7" s="9">
        <f>AVERAGE(B7:M7)</f>
        <v/>
      </c>
    </row>
    <row r="8">
      <c r="A8" s="7" t="inlineStr">
        <is>
          <t>Srednja minimalna</t>
        </is>
      </c>
      <c r="B8" s="8" t="n">
        <v>1.6</v>
      </c>
      <c r="C8" s="8" t="n">
        <v>-0.9</v>
      </c>
      <c r="D8" s="8" t="n">
        <v>-1.6</v>
      </c>
      <c r="E8" s="8" t="n">
        <v>6.2</v>
      </c>
      <c r="F8" s="8" t="n">
        <v>10.3</v>
      </c>
      <c r="G8" s="8" t="n">
        <v>12.8</v>
      </c>
      <c r="H8" s="8" t="n">
        <v>14.4</v>
      </c>
      <c r="I8" s="8" t="n">
        <v>16.9</v>
      </c>
      <c r="J8" s="8" t="n">
        <v>10.6</v>
      </c>
      <c r="K8" s="8" t="n">
        <v>5.4</v>
      </c>
      <c r="L8" s="8" t="n">
        <v>3.4</v>
      </c>
      <c r="M8" s="8" t="n">
        <v>-0.8</v>
      </c>
      <c r="N8" s="9">
        <f>AVERAGE(B8:M8)</f>
        <v/>
      </c>
    </row>
    <row r="9">
      <c r="A9" s="7" t="inlineStr">
        <is>
          <t>Apsolutni maksimum</t>
        </is>
      </c>
      <c r="B9" s="8" t="n">
        <v>12.5</v>
      </c>
      <c r="C9" s="8" t="n">
        <v>11.9</v>
      </c>
      <c r="D9" s="8" t="n">
        <v>17.8</v>
      </c>
      <c r="E9" s="8" t="n">
        <v>22.8</v>
      </c>
      <c r="F9" s="8" t="n">
        <v>25.6</v>
      </c>
      <c r="G9" s="8" t="n">
        <v>27.3</v>
      </c>
      <c r="H9" s="8" t="n">
        <v>31.9</v>
      </c>
      <c r="I9" s="8" t="n">
        <v>37.2</v>
      </c>
      <c r="J9" s="8" t="n">
        <v>28.6</v>
      </c>
      <c r="K9" s="8" t="n">
        <v>23.1</v>
      </c>
      <c r="L9" s="8" t="n">
        <v>17</v>
      </c>
      <c r="M9" s="8" t="n">
        <v>13.3</v>
      </c>
      <c r="N9" s="9">
        <f>MAX(B9:M9)</f>
        <v/>
      </c>
    </row>
    <row r="10">
      <c r="A10" s="7" t="inlineStr">
        <is>
          <t>Apsolutni minimum</t>
        </is>
      </c>
      <c r="B10" s="8" t="n">
        <v>-2.7</v>
      </c>
      <c r="C10" s="8" t="n">
        <v>-6.1</v>
      </c>
      <c r="D10" s="8" t="n">
        <v>-14.1</v>
      </c>
      <c r="E10" s="8" t="n">
        <v>-1</v>
      </c>
      <c r="F10" s="8" t="n">
        <v>6.3</v>
      </c>
      <c r="G10" s="8" t="n">
        <v>8.800000000000001</v>
      </c>
      <c r="H10" s="8" t="n">
        <v>9</v>
      </c>
      <c r="I10" s="8" t="n">
        <v>13.3</v>
      </c>
      <c r="J10" s="8" t="n">
        <v>2.6</v>
      </c>
      <c r="K10" s="8" t="n">
        <v>-2.9</v>
      </c>
      <c r="L10" s="8" t="n">
        <v>-3.2</v>
      </c>
      <c r="M10" s="8" t="n">
        <v>-3.8</v>
      </c>
      <c r="N10" s="9">
        <f>MIN(B10:M10)</f>
        <v/>
      </c>
    </row>
    <row r="11">
      <c r="A11" s="7" t="inlineStr">
        <is>
          <t>Sr. br. mraznih dana</t>
        </is>
      </c>
      <c r="B11" s="10" t="n">
        <v>15</v>
      </c>
      <c r="C11" s="10" t="n">
        <v>17</v>
      </c>
      <c r="D11" s="10" t="n">
        <v>17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3</v>
      </c>
      <c r="L11" s="10" t="n">
        <v>8</v>
      </c>
      <c r="M11" s="10" t="n">
        <v>22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12</v>
      </c>
      <c r="I12" s="10" t="n">
        <v>17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83.90000000000001</v>
      </c>
      <c r="C14" s="8" t="n">
        <v>72</v>
      </c>
      <c r="D14" s="8" t="n">
        <v>74.5</v>
      </c>
      <c r="E14" s="8" t="n">
        <v>76.09999999999999</v>
      </c>
      <c r="F14" s="8" t="n">
        <v>73.8</v>
      </c>
      <c r="G14" s="8" t="n">
        <v>75.5</v>
      </c>
      <c r="H14" s="8" t="n">
        <v>61.1</v>
      </c>
      <c r="I14" s="8" t="n">
        <v>61.2</v>
      </c>
      <c r="J14" s="8" t="n">
        <v>71.7</v>
      </c>
      <c r="K14" s="8" t="n">
        <v>72.09999999999999</v>
      </c>
      <c r="L14" s="8" t="n">
        <v>83.3</v>
      </c>
      <c r="M14" s="8" t="n">
        <v>82.90000000000001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153.7</v>
      </c>
      <c r="C16" s="8" t="n">
        <v>232.7</v>
      </c>
      <c r="D16" s="8" t="n">
        <v>243.2</v>
      </c>
      <c r="E16" s="8" t="n">
        <v>289.9</v>
      </c>
      <c r="F16" s="8" t="n">
        <v>379.1</v>
      </c>
      <c r="G16" s="8" t="n">
        <v>382.3</v>
      </c>
      <c r="H16" s="8" t="n">
        <v>412.5</v>
      </c>
      <c r="I16" s="8" t="n">
        <v>402.9</v>
      </c>
      <c r="J16" s="8" t="n">
        <v>287.6</v>
      </c>
      <c r="K16" s="8" t="n">
        <v>291.5</v>
      </c>
      <c r="L16" s="8" t="n">
        <v>188</v>
      </c>
      <c r="M16" s="8" t="n">
        <v>215.3</v>
      </c>
      <c r="N16" s="9">
        <f>SUM(B16:M16)</f>
        <v/>
      </c>
    </row>
    <row r="17">
      <c r="A17" s="7" t="inlineStr">
        <is>
          <t>Broj vedrih dana</t>
        </is>
      </c>
      <c r="B17" s="10" t="n">
        <v>0</v>
      </c>
      <c r="C17" s="10" t="n">
        <v>6</v>
      </c>
      <c r="D17" s="10" t="n">
        <v>4</v>
      </c>
      <c r="E17" s="10" t="n">
        <v>5</v>
      </c>
      <c r="F17" s="10" t="n">
        <v>10</v>
      </c>
      <c r="G17" s="10" t="n">
        <v>5</v>
      </c>
      <c r="H17" s="10" t="n">
        <v>15</v>
      </c>
      <c r="I17" s="10" t="n">
        <v>18</v>
      </c>
      <c r="J17" s="10" t="n">
        <v>11</v>
      </c>
      <c r="K17" s="10" t="n">
        <v>17</v>
      </c>
      <c r="L17" s="10" t="n">
        <v>4</v>
      </c>
      <c r="M17" s="10" t="n">
        <v>10</v>
      </c>
      <c r="N17" s="11">
        <f>SUM(B17:M17)</f>
        <v/>
      </c>
    </row>
    <row r="18">
      <c r="A18" s="7" t="inlineStr">
        <is>
          <t>Broj oblačnih dana</t>
        </is>
      </c>
      <c r="B18" s="10" t="n">
        <v>17</v>
      </c>
      <c r="C18" s="10" t="n">
        <v>12</v>
      </c>
      <c r="D18" s="10" t="n">
        <v>17</v>
      </c>
      <c r="E18" s="10" t="n">
        <v>14</v>
      </c>
      <c r="F18" s="10" t="n">
        <v>4</v>
      </c>
      <c r="G18" s="10" t="n">
        <v>2</v>
      </c>
      <c r="H18" s="10" t="n">
        <v>2</v>
      </c>
      <c r="I18" s="10" t="n">
        <v>1</v>
      </c>
      <c r="J18" s="10" t="n">
        <v>7</v>
      </c>
      <c r="K18" s="10" t="n">
        <v>3</v>
      </c>
      <c r="L18" s="10" t="n">
        <v>12</v>
      </c>
      <c r="M18" s="10" t="n">
        <v>7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285.1</v>
      </c>
      <c r="C20" s="8" t="n">
        <v>86.5</v>
      </c>
      <c r="D20" s="8" t="n">
        <v>190.8</v>
      </c>
      <c r="E20" s="8" t="n">
        <v>213.5</v>
      </c>
      <c r="F20" s="8" t="n">
        <v>79.3</v>
      </c>
      <c r="G20" s="8" t="n">
        <v>100</v>
      </c>
      <c r="H20" s="8" t="n">
        <v>19.9</v>
      </c>
      <c r="I20" s="8" t="n">
        <v>26.7</v>
      </c>
      <c r="J20" s="8" t="n">
        <v>178.8</v>
      </c>
      <c r="K20" s="8" t="n">
        <v>71.59999999999999</v>
      </c>
      <c r="L20" s="8" t="n">
        <v>285.4</v>
      </c>
      <c r="M20" s="8" t="n">
        <v>48.4</v>
      </c>
      <c r="N20" s="9">
        <f>SUM(B20:M20)</f>
        <v/>
      </c>
    </row>
    <row r="21">
      <c r="A21" s="7" t="inlineStr">
        <is>
          <t>Max. dnevna suma</t>
        </is>
      </c>
      <c r="B21" s="8" t="n">
        <v>57</v>
      </c>
      <c r="C21" s="8" t="n">
        <v>32.1</v>
      </c>
      <c r="D21" s="8" t="n">
        <v>50</v>
      </c>
      <c r="E21" s="8" t="n">
        <v>46.8</v>
      </c>
      <c r="F21" s="8" t="n">
        <v>23.2</v>
      </c>
      <c r="G21" s="8" t="n">
        <v>20</v>
      </c>
      <c r="H21" s="8" t="n">
        <v>11.4</v>
      </c>
      <c r="I21" s="8" t="n">
        <v>6.7</v>
      </c>
      <c r="J21" s="8" t="n">
        <v>75.09999999999999</v>
      </c>
      <c r="K21" s="8" t="n">
        <v>39.9</v>
      </c>
      <c r="L21" s="8" t="n">
        <v>33.4</v>
      </c>
      <c r="M21" s="8" t="n">
        <v>19.2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14</v>
      </c>
      <c r="D22" s="10" t="n">
        <v>22</v>
      </c>
      <c r="E22" s="10" t="n">
        <v>19</v>
      </c>
      <c r="F22" s="10" t="n">
        <v>20</v>
      </c>
      <c r="G22" s="10" t="n">
        <v>19</v>
      </c>
      <c r="H22" s="10" t="n">
        <v>13</v>
      </c>
      <c r="I22" s="10" t="n">
        <v>15</v>
      </c>
      <c r="J22" s="10" t="n">
        <v>13</v>
      </c>
      <c r="K22" s="10" t="n">
        <v>4</v>
      </c>
      <c r="L22" s="10" t="n">
        <v>19</v>
      </c>
      <c r="M22" s="10" t="n">
        <v>10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9</v>
      </c>
      <c r="C23" s="10" t="n">
        <v>3</v>
      </c>
      <c r="D23" s="10" t="n">
        <v>6</v>
      </c>
      <c r="E23" s="10" t="n">
        <v>8</v>
      </c>
      <c r="F23" s="10" t="n">
        <v>3</v>
      </c>
      <c r="G23" s="10" t="n">
        <v>4</v>
      </c>
      <c r="H23" s="10" t="n">
        <v>1</v>
      </c>
      <c r="I23" s="10" t="n">
        <v>0</v>
      </c>
      <c r="J23" s="10" t="n">
        <v>4</v>
      </c>
      <c r="K23" s="10" t="n">
        <v>2</v>
      </c>
      <c r="L23" s="10" t="n">
        <v>11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2</v>
      </c>
      <c r="C25" s="10" t="n">
        <v>2</v>
      </c>
      <c r="D25" s="10" t="n">
        <v>8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2</v>
      </c>
      <c r="C26" s="10" t="n">
        <v>2</v>
      </c>
      <c r="D26" s="10" t="n">
        <v>8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1972.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4.7</v>
      </c>
      <c r="C6" s="8" t="n">
        <v>6.9</v>
      </c>
      <c r="D6" s="8" t="n">
        <v>9.6</v>
      </c>
      <c r="E6" s="8" t="n">
        <v>12.1</v>
      </c>
      <c r="F6" s="8" t="n">
        <v>15.5</v>
      </c>
      <c r="G6" s="8" t="n">
        <v>20.4</v>
      </c>
      <c r="H6" s="8" t="n">
        <v>21.9</v>
      </c>
      <c r="I6" s="8" t="n">
        <v>20.5</v>
      </c>
      <c r="J6" s="8" t="n">
        <v>15.5</v>
      </c>
      <c r="K6" s="8" t="n">
        <v>9.9</v>
      </c>
      <c r="L6" s="8" t="n">
        <v>8.4</v>
      </c>
      <c r="M6" s="8" t="n">
        <v>3.9</v>
      </c>
      <c r="N6" s="9">
        <f>AVERAGE(B6:M6)</f>
        <v/>
      </c>
    </row>
    <row r="7">
      <c r="A7" s="7" t="inlineStr">
        <is>
          <t>Srednja maksimalna</t>
        </is>
      </c>
      <c r="B7" s="8" t="n">
        <v>9.1</v>
      </c>
      <c r="C7" s="8" t="n">
        <v>10.7</v>
      </c>
      <c r="D7" s="8" t="n">
        <v>15.4</v>
      </c>
      <c r="E7" s="8" t="n">
        <v>16.9</v>
      </c>
      <c r="F7" s="8" t="n">
        <v>20.4</v>
      </c>
      <c r="G7" s="8" t="n">
        <v>25.6</v>
      </c>
      <c r="H7" s="8" t="n">
        <v>27.1</v>
      </c>
      <c r="I7" s="8" t="n">
        <v>26.1</v>
      </c>
      <c r="J7" s="8" t="n">
        <v>20.6</v>
      </c>
      <c r="K7" s="8" t="n">
        <v>15.2</v>
      </c>
      <c r="L7" s="8" t="n">
        <v>13.4</v>
      </c>
      <c r="M7" s="8" t="n">
        <v>9.6</v>
      </c>
      <c r="N7" s="9">
        <f>AVERAGE(B7:M7)</f>
        <v/>
      </c>
    </row>
    <row r="8">
      <c r="A8" s="7" t="inlineStr">
        <is>
          <t>Srednja minimalna</t>
        </is>
      </c>
      <c r="B8" s="8" t="n">
        <v>0.9</v>
      </c>
      <c r="C8" s="8" t="n">
        <v>3.3</v>
      </c>
      <c r="D8" s="8" t="n">
        <v>3.5</v>
      </c>
      <c r="E8" s="8" t="n">
        <v>6.9</v>
      </c>
      <c r="F8" s="8" t="n">
        <v>9.199999999999999</v>
      </c>
      <c r="G8" s="8" t="n">
        <v>14.1</v>
      </c>
      <c r="H8" s="8" t="n">
        <v>16</v>
      </c>
      <c r="I8" s="8" t="n">
        <v>14.3</v>
      </c>
      <c r="J8" s="8" t="n">
        <v>10.4</v>
      </c>
      <c r="K8" s="8" t="n">
        <v>5.1</v>
      </c>
      <c r="L8" s="8" t="n">
        <v>3.8</v>
      </c>
      <c r="M8" s="8" t="n">
        <v>0</v>
      </c>
      <c r="N8" s="9">
        <f>AVERAGE(B8:M8)</f>
        <v/>
      </c>
    </row>
    <row r="9">
      <c r="A9" s="7" t="inlineStr">
        <is>
          <t>Apsolutni maksimum</t>
        </is>
      </c>
      <c r="B9" s="8" t="n">
        <v>12.5</v>
      </c>
      <c r="C9" s="8" t="n">
        <v>13.6</v>
      </c>
      <c r="D9" s="8" t="n">
        <v>19.3</v>
      </c>
      <c r="E9" s="8" t="n">
        <v>20.9</v>
      </c>
      <c r="F9" s="8" t="n">
        <v>27.9</v>
      </c>
      <c r="G9" s="8" t="n">
        <v>29.4</v>
      </c>
      <c r="H9" s="8" t="n">
        <v>32.9</v>
      </c>
      <c r="I9" s="8" t="n">
        <v>34.2</v>
      </c>
      <c r="J9" s="8" t="n">
        <v>24.9</v>
      </c>
      <c r="K9" s="8" t="n">
        <v>22.4</v>
      </c>
      <c r="L9" s="8" t="n">
        <v>18.7</v>
      </c>
      <c r="M9" s="8" t="n">
        <v>14.3</v>
      </c>
      <c r="N9" s="9">
        <f>MAX(B9:M9)</f>
        <v/>
      </c>
    </row>
    <row r="10">
      <c r="A10" s="7" t="inlineStr">
        <is>
          <t>Apsolutni minimum</t>
        </is>
      </c>
      <c r="B10" s="8" t="n">
        <v>-4</v>
      </c>
      <c r="C10" s="8" t="n">
        <v>-3.1</v>
      </c>
      <c r="D10" s="8" t="n">
        <v>-2.1</v>
      </c>
      <c r="E10" s="8" t="n">
        <v>2.1</v>
      </c>
      <c r="F10" s="8" t="n">
        <v>4.3</v>
      </c>
      <c r="G10" s="8" t="n">
        <v>10.5</v>
      </c>
      <c r="H10" s="8" t="n">
        <v>12.5</v>
      </c>
      <c r="I10" s="8" t="n">
        <v>9.9</v>
      </c>
      <c r="J10" s="8" t="n">
        <v>2.5</v>
      </c>
      <c r="K10" s="8" t="n">
        <v>-1.8</v>
      </c>
      <c r="L10" s="8" t="n">
        <v>-5.2</v>
      </c>
      <c r="M10" s="8" t="n">
        <v>-4.9</v>
      </c>
      <c r="N10" s="9">
        <f>MIN(B10:M10)</f>
        <v/>
      </c>
    </row>
    <row r="11">
      <c r="A11" s="7" t="inlineStr">
        <is>
          <t>Sr. br. mraznih dana</t>
        </is>
      </c>
      <c r="B11" s="10" t="n">
        <v>9</v>
      </c>
      <c r="C11" s="10" t="n">
        <v>8</v>
      </c>
      <c r="D11" s="10" t="n">
        <v>5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3</v>
      </c>
      <c r="L11" s="10" t="n">
        <v>6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3</v>
      </c>
      <c r="I12" s="10" t="n">
        <v>7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83.3</v>
      </c>
      <c r="C14" s="8" t="n">
        <v>83.7</v>
      </c>
      <c r="D14" s="8" t="n">
        <v>75.59999999999999</v>
      </c>
      <c r="E14" s="8" t="n">
        <v>77.8</v>
      </c>
      <c r="F14" s="8" t="n">
        <v>76.2</v>
      </c>
      <c r="G14" s="8" t="n">
        <v>73.40000000000001</v>
      </c>
      <c r="H14" s="8" t="n">
        <v>73.3</v>
      </c>
      <c r="I14" s="8" t="n">
        <v>73.3</v>
      </c>
      <c r="J14" s="8" t="n">
        <v>76.59999999999999</v>
      </c>
      <c r="K14" s="8" t="n">
        <v>75.5</v>
      </c>
      <c r="L14" s="8" t="n">
        <v>84</v>
      </c>
      <c r="M14" s="8" t="n">
        <v>82.2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145.6</v>
      </c>
      <c r="C16" s="8" t="n">
        <v>139.7</v>
      </c>
      <c r="D16" s="8" t="n">
        <v>313.3</v>
      </c>
      <c r="E16" s="8" t="n">
        <v>274.4</v>
      </c>
      <c r="F16" s="8" t="n">
        <v>366.1</v>
      </c>
      <c r="G16" s="8" t="n">
        <v>377.7</v>
      </c>
      <c r="H16" s="8" t="n">
        <v>362.8</v>
      </c>
      <c r="I16" s="8" t="n">
        <v>348.2</v>
      </c>
      <c r="J16" s="8" t="n">
        <v>285.7</v>
      </c>
      <c r="K16" s="8" t="n">
        <v>255.5</v>
      </c>
      <c r="L16" s="8" t="n">
        <v>186</v>
      </c>
      <c r="M16" s="8" t="n">
        <v>179.1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3</v>
      </c>
      <c r="D17" s="10" t="n">
        <v>5</v>
      </c>
      <c r="E17" s="10" t="n">
        <v>2</v>
      </c>
      <c r="F17" s="10" t="n">
        <v>5</v>
      </c>
      <c r="G17" s="10" t="n">
        <v>8</v>
      </c>
      <c r="H17" s="10" t="n">
        <v>5</v>
      </c>
      <c r="I17" s="10" t="n">
        <v>13</v>
      </c>
      <c r="J17" s="10" t="n">
        <v>2</v>
      </c>
      <c r="K17" s="10" t="n">
        <v>7</v>
      </c>
      <c r="L17" s="10" t="n">
        <v>7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18</v>
      </c>
      <c r="C18" s="10" t="n">
        <v>20</v>
      </c>
      <c r="D18" s="10" t="n">
        <v>4</v>
      </c>
      <c r="E18" s="10" t="n">
        <v>11</v>
      </c>
      <c r="F18" s="10" t="n">
        <v>4</v>
      </c>
      <c r="G18" s="10" t="n">
        <v>4</v>
      </c>
      <c r="H18" s="10" t="n">
        <v>8</v>
      </c>
      <c r="I18" s="10" t="n">
        <v>9</v>
      </c>
      <c r="J18" s="10" t="n">
        <v>7</v>
      </c>
      <c r="K18" s="10" t="n">
        <v>6</v>
      </c>
      <c r="L18" s="10" t="n">
        <v>13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237.9</v>
      </c>
      <c r="C20" s="8" t="n">
        <v>241.6</v>
      </c>
      <c r="D20" s="8" t="n">
        <v>75.40000000000001</v>
      </c>
      <c r="E20" s="8" t="n">
        <v>205.9</v>
      </c>
      <c r="F20" s="8" t="n">
        <v>132.4</v>
      </c>
      <c r="G20" s="8" t="n">
        <v>52</v>
      </c>
      <c r="H20" s="8" t="n">
        <v>168.8</v>
      </c>
      <c r="I20" s="8" t="n">
        <v>157.8</v>
      </c>
      <c r="J20" s="8" t="n">
        <v>266.1</v>
      </c>
      <c r="K20" s="8" t="n">
        <v>85.40000000000001</v>
      </c>
      <c r="L20" s="8" t="n">
        <v>168.7</v>
      </c>
      <c r="M20" s="8" t="n">
        <v>53</v>
      </c>
      <c r="N20" s="9">
        <f>SUM(B20:M20)</f>
        <v/>
      </c>
    </row>
    <row r="21">
      <c r="A21" s="7" t="inlineStr">
        <is>
          <t>Max. dnevna suma</t>
        </is>
      </c>
      <c r="B21" s="8" t="n">
        <v>34.4</v>
      </c>
      <c r="C21" s="8" t="n">
        <v>43.4</v>
      </c>
      <c r="D21" s="8" t="n">
        <v>17.6</v>
      </c>
      <c r="E21" s="8" t="n">
        <v>51.6</v>
      </c>
      <c r="F21" s="8" t="n">
        <v>22.4</v>
      </c>
      <c r="G21" s="8" t="n">
        <v>20.2</v>
      </c>
      <c r="H21" s="8" t="n">
        <v>38.2</v>
      </c>
      <c r="I21" s="8" t="n">
        <v>40</v>
      </c>
      <c r="J21" s="8" t="n">
        <v>94.59999999999999</v>
      </c>
      <c r="K21" s="8" t="n">
        <v>26.4</v>
      </c>
      <c r="L21" s="8" t="n">
        <v>31.2</v>
      </c>
      <c r="M21" s="8" t="n">
        <v>24.5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18</v>
      </c>
      <c r="C22" s="10" t="n">
        <v>20</v>
      </c>
      <c r="D22" s="10" t="n">
        <v>17</v>
      </c>
      <c r="E22" s="10" t="n">
        <v>18</v>
      </c>
      <c r="F22" s="10" t="n">
        <v>20</v>
      </c>
      <c r="G22" s="10" t="n">
        <v>20</v>
      </c>
      <c r="H22" s="10" t="n">
        <v>23</v>
      </c>
      <c r="I22" s="10" t="n">
        <v>13</v>
      </c>
      <c r="J22" s="10" t="n">
        <v>21</v>
      </c>
      <c r="K22" s="10" t="n">
        <v>19</v>
      </c>
      <c r="L22" s="10" t="n">
        <v>17</v>
      </c>
      <c r="M22" s="10" t="n">
        <v>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10</v>
      </c>
      <c r="C23" s="10" t="n">
        <v>7</v>
      </c>
      <c r="D23" s="10" t="n">
        <v>1</v>
      </c>
      <c r="E23" s="10" t="n">
        <v>9</v>
      </c>
      <c r="F23" s="10" t="n">
        <v>5</v>
      </c>
      <c r="G23" s="10" t="n">
        <v>1</v>
      </c>
      <c r="H23" s="10" t="n">
        <v>5</v>
      </c>
      <c r="I23" s="10" t="n">
        <v>6</v>
      </c>
      <c r="J23" s="10" t="n">
        <v>5</v>
      </c>
      <c r="K23" s="10" t="n">
        <v>2</v>
      </c>
      <c r="L23" s="10" t="n">
        <v>6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1</v>
      </c>
      <c r="L25" s="10" t="n">
        <v>1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1</v>
      </c>
      <c r="L26" s="10" t="n">
        <v>1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1973.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3.6</v>
      </c>
      <c r="C6" s="8" t="n">
        <v>4.2</v>
      </c>
      <c r="D6" s="8" t="n">
        <v>5.6</v>
      </c>
      <c r="E6" s="8" t="n">
        <v>9.1</v>
      </c>
      <c r="F6" s="8" t="n">
        <v>16.7</v>
      </c>
      <c r="G6" s="8" t="n">
        <v>19.6</v>
      </c>
      <c r="H6" s="8" t="n">
        <v>22.8</v>
      </c>
      <c r="I6" s="8" t="n">
        <v>22.5</v>
      </c>
      <c r="J6" s="8" t="n">
        <v>19.6</v>
      </c>
      <c r="K6" s="8" t="n">
        <v>13</v>
      </c>
      <c r="L6" s="8" t="n">
        <v>6.1</v>
      </c>
      <c r="M6" s="8" t="n">
        <v>3.2</v>
      </c>
      <c r="N6" s="9">
        <f>AVERAGE(B6:M6)</f>
        <v/>
      </c>
    </row>
    <row r="7">
      <c r="A7" s="7" t="inlineStr">
        <is>
          <t>Srednja maksimalna</t>
        </is>
      </c>
      <c r="B7" s="8" t="n">
        <v>8.5</v>
      </c>
      <c r="C7" s="8" t="n">
        <v>9</v>
      </c>
      <c r="D7" s="8" t="n">
        <v>11.8</v>
      </c>
      <c r="E7" s="8" t="n">
        <v>14</v>
      </c>
      <c r="F7" s="8" t="n">
        <v>22.6</v>
      </c>
      <c r="G7" s="8" t="n">
        <v>25.2</v>
      </c>
      <c r="H7" s="8" t="n">
        <v>28.6</v>
      </c>
      <c r="I7" s="8" t="n">
        <v>28.7</v>
      </c>
      <c r="J7" s="8" t="n">
        <v>25.6</v>
      </c>
      <c r="K7" s="8" t="n">
        <v>18.6</v>
      </c>
      <c r="L7" s="8" t="n">
        <v>11.3</v>
      </c>
      <c r="M7" s="8" t="n">
        <v>7.6</v>
      </c>
      <c r="N7" s="9">
        <f>AVERAGE(B7:M7)</f>
        <v/>
      </c>
    </row>
    <row r="8">
      <c r="A8" s="7" t="inlineStr">
        <is>
          <t>Srednja minimalna</t>
        </is>
      </c>
      <c r="B8" s="8" t="n">
        <v>-0</v>
      </c>
      <c r="C8" s="8" t="n">
        <v>-0.2</v>
      </c>
      <c r="D8" s="8" t="n">
        <v>-0.5</v>
      </c>
      <c r="E8" s="8" t="n">
        <v>3.6</v>
      </c>
      <c r="F8" s="8" t="n">
        <v>9.300000000000001</v>
      </c>
      <c r="G8" s="8" t="n">
        <v>12.8</v>
      </c>
      <c r="H8" s="8" t="n">
        <v>15.5</v>
      </c>
      <c r="I8" s="8" t="n">
        <v>15.1</v>
      </c>
      <c r="J8" s="8" t="n">
        <v>13.7</v>
      </c>
      <c r="K8" s="8" t="n">
        <v>8.1</v>
      </c>
      <c r="L8" s="8" t="n">
        <v>0.9</v>
      </c>
      <c r="M8" s="8" t="n">
        <v>-1.3</v>
      </c>
      <c r="N8" s="9">
        <f>AVERAGE(B8:M8)</f>
        <v/>
      </c>
    </row>
    <row r="9">
      <c r="A9" s="7" t="inlineStr">
        <is>
          <t>Apsolutni maksimum</t>
        </is>
      </c>
      <c r="B9" s="8" t="n">
        <v>12.3</v>
      </c>
      <c r="C9" s="8" t="n">
        <v>13.1</v>
      </c>
      <c r="D9" s="8" t="n">
        <v>17.5</v>
      </c>
      <c r="E9" s="8" t="n">
        <v>20.6</v>
      </c>
      <c r="F9" s="8" t="n">
        <v>28.8</v>
      </c>
      <c r="G9" s="8" t="n">
        <v>30.4</v>
      </c>
      <c r="H9" s="8" t="n">
        <v>33.2</v>
      </c>
      <c r="I9" s="8" t="n">
        <v>33</v>
      </c>
      <c r="J9" s="8" t="n">
        <v>31.1</v>
      </c>
      <c r="K9" s="8" t="n">
        <v>26</v>
      </c>
      <c r="L9" s="8" t="n">
        <v>15.6</v>
      </c>
      <c r="M9" s="8" t="n">
        <v>13</v>
      </c>
      <c r="N9" s="9">
        <f>MAX(B9:M9)</f>
        <v/>
      </c>
    </row>
    <row r="10">
      <c r="A10" s="7" t="inlineStr">
        <is>
          <t>Apsolutni minimum</t>
        </is>
      </c>
      <c r="B10" s="8" t="n">
        <v>-4.9</v>
      </c>
      <c r="C10" s="8" t="n">
        <v>-6.1</v>
      </c>
      <c r="D10" s="8" t="n">
        <v>-4.8</v>
      </c>
      <c r="E10" s="8" t="n">
        <v>-1.6</v>
      </c>
      <c r="F10" s="8" t="n">
        <v>3</v>
      </c>
      <c r="G10" s="8" t="n">
        <v>8.800000000000001</v>
      </c>
      <c r="H10" s="8" t="n">
        <v>11.8</v>
      </c>
      <c r="I10" s="8" t="n">
        <v>13</v>
      </c>
      <c r="J10" s="8" t="n">
        <v>8.9</v>
      </c>
      <c r="K10" s="8" t="n">
        <v>0.8</v>
      </c>
      <c r="L10" s="8" t="n">
        <v>-15.8</v>
      </c>
      <c r="M10" s="8" t="n">
        <v>-19.4</v>
      </c>
      <c r="N10" s="9">
        <f>MIN(B10:M10)</f>
        <v/>
      </c>
    </row>
    <row r="11">
      <c r="A11" s="7" t="inlineStr">
        <is>
          <t>Sr. br. mraznih dana</t>
        </is>
      </c>
      <c r="B11" s="10" t="n">
        <v>16</v>
      </c>
      <c r="C11" s="10" t="n">
        <v>17</v>
      </c>
      <c r="D11" s="10" t="n">
        <v>21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12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</v>
      </c>
      <c r="H12" s="10" t="n">
        <v>10</v>
      </c>
      <c r="I12" s="10" t="n">
        <v>14</v>
      </c>
      <c r="J12" s="10" t="n">
        <v>5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79.5</v>
      </c>
      <c r="C14" s="8" t="n">
        <v>76.40000000000001</v>
      </c>
      <c r="D14" s="8" t="n">
        <v>70.09999999999999</v>
      </c>
      <c r="E14" s="8" t="n">
        <v>76.2</v>
      </c>
      <c r="F14" s="8" t="n">
        <v>68.5</v>
      </c>
      <c r="G14" s="8" t="n">
        <v>68.3</v>
      </c>
      <c r="H14" s="8" t="n">
        <v>62.1</v>
      </c>
      <c r="I14" s="8" t="n">
        <v>61.1</v>
      </c>
      <c r="J14" s="8" t="n">
        <v>70.5</v>
      </c>
      <c r="K14" s="8" t="n">
        <v>76</v>
      </c>
      <c r="L14" s="8" t="n">
        <v>76.90000000000001</v>
      </c>
      <c r="M14" s="8" t="n">
        <v>84.2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184</v>
      </c>
      <c r="C16" s="8" t="n">
        <v>200.5</v>
      </c>
      <c r="D16" s="8" t="n">
        <v>295.4</v>
      </c>
      <c r="E16" s="8" t="n">
        <v>296.6</v>
      </c>
      <c r="F16" s="8" t="n">
        <v>401.5</v>
      </c>
      <c r="G16" s="8" t="n">
        <v>376.4</v>
      </c>
      <c r="H16" s="8" t="n">
        <v>419</v>
      </c>
      <c r="I16" s="8" t="n">
        <v>374.6</v>
      </c>
      <c r="J16" s="8" t="n">
        <v>313.4</v>
      </c>
      <c r="K16" s="8" t="n">
        <v>272.4</v>
      </c>
      <c r="L16" s="8" t="n">
        <v>226.3</v>
      </c>
      <c r="M16" s="8" t="n">
        <v>157.3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3</v>
      </c>
      <c r="D17" s="10" t="n">
        <v>5</v>
      </c>
      <c r="E17" s="10" t="n">
        <v>2</v>
      </c>
      <c r="F17" s="10" t="n">
        <v>7</v>
      </c>
      <c r="G17" s="10" t="n">
        <v>10</v>
      </c>
      <c r="H17" s="10" t="n">
        <v>13</v>
      </c>
      <c r="I17" s="10" t="n">
        <v>19</v>
      </c>
      <c r="J17" s="10" t="n">
        <v>12</v>
      </c>
      <c r="K17" s="10" t="n">
        <v>11</v>
      </c>
      <c r="L17" s="10" t="n">
        <v>8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13</v>
      </c>
      <c r="D18" s="10" t="n">
        <v>12</v>
      </c>
      <c r="E18" s="10" t="n">
        <v>9</v>
      </c>
      <c r="F18" s="10" t="n">
        <v>2</v>
      </c>
      <c r="G18" s="10" t="n">
        <v>2</v>
      </c>
      <c r="H18" s="10" t="n">
        <v>0</v>
      </c>
      <c r="I18" s="10" t="n">
        <v>4</v>
      </c>
      <c r="J18" s="10" t="n">
        <v>6</v>
      </c>
      <c r="K18" s="10" t="n">
        <v>7</v>
      </c>
      <c r="L18" s="10" t="n">
        <v>4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123.5</v>
      </c>
      <c r="C20" s="8" t="n">
        <v>180.4</v>
      </c>
      <c r="D20" s="8" t="n">
        <v>68.90000000000001</v>
      </c>
      <c r="E20" s="8" t="n">
        <v>168</v>
      </c>
      <c r="F20" s="8" t="n">
        <v>26.8</v>
      </c>
      <c r="G20" s="8" t="n">
        <v>97.40000000000001</v>
      </c>
      <c r="H20" s="8" t="n">
        <v>49</v>
      </c>
      <c r="I20" s="8" t="n">
        <v>71.59999999999999</v>
      </c>
      <c r="J20" s="8" t="n">
        <v>94.09999999999999</v>
      </c>
      <c r="K20" s="8" t="n">
        <v>140.8</v>
      </c>
      <c r="L20" s="8" t="n">
        <v>95</v>
      </c>
      <c r="M20" s="8" t="n">
        <v>240.1</v>
      </c>
      <c r="N20" s="9">
        <f>SUM(B20:M20)</f>
        <v/>
      </c>
    </row>
    <row r="21">
      <c r="A21" s="7" t="inlineStr">
        <is>
          <t>Max. dnevna suma</t>
        </is>
      </c>
      <c r="B21" s="8" t="n">
        <v>28.4</v>
      </c>
      <c r="C21" s="8" t="n">
        <v>50</v>
      </c>
      <c r="D21" s="8" t="n">
        <v>30.6</v>
      </c>
      <c r="E21" s="8" t="n">
        <v>25.9</v>
      </c>
      <c r="F21" s="8" t="n">
        <v>11.9</v>
      </c>
      <c r="G21" s="8" t="n">
        <v>25.9</v>
      </c>
      <c r="H21" s="8" t="n">
        <v>21.6</v>
      </c>
      <c r="I21" s="8" t="n">
        <v>24.7</v>
      </c>
      <c r="J21" s="8" t="n">
        <v>27.8</v>
      </c>
      <c r="K21" s="8" t="n">
        <v>52</v>
      </c>
      <c r="L21" s="8" t="n">
        <v>32.8</v>
      </c>
      <c r="M21" s="8" t="n">
        <v>63.3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18</v>
      </c>
      <c r="D22" s="10" t="n">
        <v>16</v>
      </c>
      <c r="E22" s="10" t="n">
        <v>27</v>
      </c>
      <c r="F22" s="10" t="n">
        <v>9</v>
      </c>
      <c r="G22" s="10" t="n">
        <v>12</v>
      </c>
      <c r="H22" s="10" t="n">
        <v>14</v>
      </c>
      <c r="I22" s="10" t="n">
        <v>12</v>
      </c>
      <c r="J22" s="10" t="n">
        <v>15</v>
      </c>
      <c r="K22" s="10" t="n">
        <v>13</v>
      </c>
      <c r="L22" s="10" t="n">
        <v>15</v>
      </c>
      <c r="M22" s="10" t="n">
        <v>22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8</v>
      </c>
      <c r="D23" s="10" t="n">
        <v>1</v>
      </c>
      <c r="E23" s="10" t="n">
        <v>8</v>
      </c>
      <c r="F23" s="10" t="n">
        <v>1</v>
      </c>
      <c r="G23" s="10" t="n">
        <v>4</v>
      </c>
      <c r="H23" s="10" t="n">
        <v>2</v>
      </c>
      <c r="I23" s="10" t="n">
        <v>3</v>
      </c>
      <c r="J23" s="10" t="n">
        <v>3</v>
      </c>
      <c r="K23" s="10" t="n">
        <v>5</v>
      </c>
      <c r="L23" s="10" t="n">
        <v>2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3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3</v>
      </c>
      <c r="M25" s="10" t="n">
        <v>4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3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3</v>
      </c>
      <c r="M26" s="10" t="n">
        <v>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1974.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3.8</v>
      </c>
      <c r="C6" s="8" t="n">
        <v>6.1</v>
      </c>
      <c r="D6" s="8" t="n">
        <v>8.800000000000001</v>
      </c>
      <c r="E6" s="8" t="n">
        <v>10.4</v>
      </c>
      <c r="F6" s="8" t="n">
        <v>14.2</v>
      </c>
      <c r="G6" s="8" t="n">
        <v>18.7</v>
      </c>
      <c r="H6" s="8" t="n">
        <v>22</v>
      </c>
      <c r="I6" s="8" t="n">
        <v>23.9</v>
      </c>
      <c r="J6" s="8" t="n">
        <v>19.1</v>
      </c>
      <c r="K6" s="8" t="n">
        <v>10.6</v>
      </c>
      <c r="L6" s="8" t="n">
        <v>7.3</v>
      </c>
      <c r="M6" s="8" t="n">
        <v>3.3</v>
      </c>
      <c r="N6" s="9">
        <f>AVERAGE(B6:M6)</f>
        <v/>
      </c>
    </row>
    <row r="7">
      <c r="A7" s="7" t="inlineStr">
        <is>
          <t>Srednja maksimalna</t>
        </is>
      </c>
      <c r="B7" s="8" t="n">
        <v>9.800000000000001</v>
      </c>
      <c r="C7" s="8" t="n">
        <v>11.2</v>
      </c>
      <c r="D7" s="8" t="n">
        <v>14.9</v>
      </c>
      <c r="E7" s="8" t="n">
        <v>15.7</v>
      </c>
      <c r="F7" s="8" t="n">
        <v>19.3</v>
      </c>
      <c r="G7" s="8" t="n">
        <v>23.6</v>
      </c>
      <c r="H7" s="8" t="n">
        <v>28.4</v>
      </c>
      <c r="I7" s="8" t="n">
        <v>30.6</v>
      </c>
      <c r="J7" s="8" t="n">
        <v>24.7</v>
      </c>
      <c r="K7" s="8" t="n">
        <v>14.6</v>
      </c>
      <c r="L7" s="8" t="n">
        <v>12.6</v>
      </c>
      <c r="M7" s="8" t="n">
        <v>9.300000000000001</v>
      </c>
      <c r="N7" s="9">
        <f>AVERAGE(B7:M7)</f>
        <v/>
      </c>
    </row>
    <row r="8">
      <c r="A8" s="7" t="inlineStr">
        <is>
          <t>Srednja minimalna</t>
        </is>
      </c>
      <c r="B8" s="8" t="n">
        <v>-1.2</v>
      </c>
      <c r="C8" s="8" t="n">
        <v>1.2</v>
      </c>
      <c r="D8" s="8" t="n">
        <v>2.2</v>
      </c>
      <c r="E8" s="8" t="n">
        <v>4.9</v>
      </c>
      <c r="F8" s="8" t="n">
        <v>8.1</v>
      </c>
      <c r="G8" s="8" t="n">
        <v>12.6</v>
      </c>
      <c r="H8" s="8" t="n">
        <v>14.3</v>
      </c>
      <c r="I8" s="8" t="n">
        <v>16.2</v>
      </c>
      <c r="J8" s="8" t="n">
        <v>13.3</v>
      </c>
      <c r="K8" s="8" t="n">
        <v>6.4</v>
      </c>
      <c r="L8" s="8" t="n">
        <v>2.5</v>
      </c>
      <c r="M8" s="8" t="n">
        <v>-1.2</v>
      </c>
      <c r="N8" s="9">
        <f>AVERAGE(B8:M8)</f>
        <v/>
      </c>
    </row>
    <row r="9">
      <c r="A9" s="7" t="inlineStr">
        <is>
          <t>Apsolutni maksimum</t>
        </is>
      </c>
      <c r="B9" s="8" t="n">
        <v>12.1</v>
      </c>
      <c r="C9" s="8" t="n">
        <v>16</v>
      </c>
      <c r="D9" s="8" t="n">
        <v>22.4</v>
      </c>
      <c r="E9" s="8" t="n">
        <v>21.6</v>
      </c>
      <c r="F9" s="8" t="n">
        <v>24.4</v>
      </c>
      <c r="G9" s="8" t="n">
        <v>26.6</v>
      </c>
      <c r="H9" s="8" t="n">
        <v>34.9</v>
      </c>
      <c r="I9" s="8" t="n">
        <v>35.5</v>
      </c>
      <c r="J9" s="8" t="n">
        <v>29.1</v>
      </c>
      <c r="K9" s="8" t="n">
        <v>18.6</v>
      </c>
      <c r="L9" s="8" t="n">
        <v>15.6</v>
      </c>
      <c r="M9" s="8" t="n">
        <v>13.2</v>
      </c>
      <c r="N9" s="9">
        <f>MAX(B9:M9)</f>
        <v/>
      </c>
    </row>
    <row r="10">
      <c r="A10" s="7" t="inlineStr">
        <is>
          <t>Apsolutni minimum</t>
        </is>
      </c>
      <c r="B10" s="8" t="n">
        <v>-4.2</v>
      </c>
      <c r="C10" s="8" t="n">
        <v>-4.1</v>
      </c>
      <c r="D10" s="8" t="n">
        <v>-2.5</v>
      </c>
      <c r="E10" s="8" t="n">
        <v>-0.7</v>
      </c>
      <c r="F10" s="8" t="n">
        <v>3.1</v>
      </c>
      <c r="G10" s="8" t="n">
        <v>7.6</v>
      </c>
      <c r="H10" s="8" t="n">
        <v>10.1</v>
      </c>
      <c r="I10" s="8" t="n">
        <v>11.7</v>
      </c>
      <c r="J10" s="8" t="n">
        <v>4.7</v>
      </c>
      <c r="K10" s="8" t="n">
        <v>-1.4</v>
      </c>
      <c r="L10" s="8" t="n">
        <v>-2.9</v>
      </c>
      <c r="M10" s="8" t="n">
        <v>-5.5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8</v>
      </c>
      <c r="D11" s="10" t="n">
        <v>10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2</v>
      </c>
      <c r="L11" s="10" t="n">
        <v>6</v>
      </c>
      <c r="M11" s="10" t="n">
        <v>20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10</v>
      </c>
      <c r="I12" s="10" t="n">
        <v>18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81.7</v>
      </c>
      <c r="C14" s="8" t="n">
        <v>78.90000000000001</v>
      </c>
      <c r="D14" s="8" t="n">
        <v>74.09999999999999</v>
      </c>
      <c r="E14" s="8" t="n">
        <v>72.8</v>
      </c>
      <c r="F14" s="8" t="n">
        <v>76</v>
      </c>
      <c r="G14" s="8" t="n">
        <v>70.5</v>
      </c>
      <c r="H14" s="8" t="n">
        <v>61.5</v>
      </c>
      <c r="I14" s="8" t="n">
        <v>59.1</v>
      </c>
      <c r="J14" s="8" t="n">
        <v>72.5</v>
      </c>
      <c r="K14" s="8" t="n">
        <v>83.59999999999999</v>
      </c>
      <c r="L14" s="8" t="n">
        <v>84.7</v>
      </c>
      <c r="M14" s="8" t="n">
        <v>81.59999999999999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207.5</v>
      </c>
      <c r="C16" s="8" t="n">
        <v>197.2</v>
      </c>
      <c r="D16" s="8" t="n">
        <v>292.5</v>
      </c>
      <c r="E16" s="8" t="n">
        <v>279.3</v>
      </c>
      <c r="F16" s="8" t="n">
        <v>354.9</v>
      </c>
      <c r="G16" s="8" t="n">
        <v>383.5</v>
      </c>
      <c r="H16" s="8" t="n">
        <v>423.5</v>
      </c>
      <c r="I16" s="8" t="n">
        <v>392.8</v>
      </c>
      <c r="J16" s="8" t="n">
        <v>295</v>
      </c>
      <c r="K16" s="8" t="n">
        <v>204.1</v>
      </c>
      <c r="L16" s="8" t="n">
        <v>206.1</v>
      </c>
      <c r="M16" s="8" t="n">
        <v>200.4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2</v>
      </c>
      <c r="D17" s="10" t="n">
        <v>4</v>
      </c>
      <c r="E17" s="10" t="n">
        <v>3</v>
      </c>
      <c r="F17" s="10" t="n">
        <v>3</v>
      </c>
      <c r="G17" s="10" t="n">
        <v>5</v>
      </c>
      <c r="H17" s="10" t="n">
        <v>21</v>
      </c>
      <c r="I17" s="10" t="n">
        <v>18</v>
      </c>
      <c r="J17" s="10" t="n">
        <v>12</v>
      </c>
      <c r="K17" s="10" t="n">
        <v>0</v>
      </c>
      <c r="L17" s="10" t="n">
        <v>1</v>
      </c>
      <c r="M17" s="10" t="n">
        <v>7</v>
      </c>
      <c r="N17" s="11">
        <f>SUM(B17:M17)</f>
        <v/>
      </c>
    </row>
    <row r="18">
      <c r="A18" s="7" t="inlineStr">
        <is>
          <t>Broj oblačnih dana</t>
        </is>
      </c>
      <c r="B18" s="10" t="n">
        <v>7</v>
      </c>
      <c r="C18" s="10" t="n">
        <v>11</v>
      </c>
      <c r="D18" s="10" t="n">
        <v>11</v>
      </c>
      <c r="E18" s="10" t="n">
        <v>14</v>
      </c>
      <c r="F18" s="10" t="n">
        <v>9</v>
      </c>
      <c r="G18" s="10" t="n">
        <v>2</v>
      </c>
      <c r="H18" s="10" t="n">
        <v>0</v>
      </c>
      <c r="I18" s="10" t="n">
        <v>1</v>
      </c>
      <c r="J18" s="10" t="n">
        <v>5</v>
      </c>
      <c r="K18" s="10" t="n">
        <v>16</v>
      </c>
      <c r="L18" s="10" t="n">
        <v>9</v>
      </c>
      <c r="M18" s="10" t="n">
        <v>7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63.6</v>
      </c>
      <c r="C20" s="8" t="n">
        <v>201.1</v>
      </c>
      <c r="D20" s="8" t="n">
        <v>95.8</v>
      </c>
      <c r="E20" s="8" t="n">
        <v>172.3</v>
      </c>
      <c r="F20" s="8" t="n">
        <v>169</v>
      </c>
      <c r="G20" s="8" t="n">
        <v>82.5</v>
      </c>
      <c r="H20" s="8" t="n">
        <v>46.6</v>
      </c>
      <c r="I20" s="8" t="n">
        <v>27.7</v>
      </c>
      <c r="J20" s="8" t="n">
        <v>204.5</v>
      </c>
      <c r="K20" s="8" t="n">
        <v>458.4</v>
      </c>
      <c r="L20" s="8" t="n">
        <v>101.4</v>
      </c>
      <c r="M20" s="8" t="n">
        <v>60.5</v>
      </c>
      <c r="N20" s="9">
        <f>SUM(B20:M20)</f>
        <v/>
      </c>
    </row>
    <row r="21">
      <c r="A21" s="7" t="inlineStr">
        <is>
          <t>Max. dnevna suma</t>
        </is>
      </c>
      <c r="B21" s="8" t="n">
        <v>18</v>
      </c>
      <c r="C21" s="8" t="n">
        <v>41.5</v>
      </c>
      <c r="D21" s="8" t="n">
        <v>44.9</v>
      </c>
      <c r="E21" s="8" t="n">
        <v>32</v>
      </c>
      <c r="F21" s="8" t="n">
        <v>32.1</v>
      </c>
      <c r="G21" s="8" t="n">
        <v>19</v>
      </c>
      <c r="H21" s="8" t="n">
        <v>24.4</v>
      </c>
      <c r="I21" s="8" t="n">
        <v>6.7</v>
      </c>
      <c r="J21" s="8" t="n">
        <v>38.7</v>
      </c>
      <c r="K21" s="8" t="n">
        <v>94</v>
      </c>
      <c r="L21" s="8" t="n">
        <v>28.7</v>
      </c>
      <c r="M21" s="8" t="n">
        <v>24.3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13</v>
      </c>
      <c r="C22" s="10" t="n">
        <v>17</v>
      </c>
      <c r="D22" s="10" t="n">
        <v>15</v>
      </c>
      <c r="E22" s="10" t="n">
        <v>27</v>
      </c>
      <c r="F22" s="10" t="n">
        <v>20</v>
      </c>
      <c r="G22" s="10" t="n">
        <v>18</v>
      </c>
      <c r="H22" s="10" t="n">
        <v>5</v>
      </c>
      <c r="I22" s="10" t="n">
        <v>13</v>
      </c>
      <c r="J22" s="10" t="n">
        <v>16</v>
      </c>
      <c r="K22" s="10" t="n">
        <v>28</v>
      </c>
      <c r="L22" s="10" t="n">
        <v>18</v>
      </c>
      <c r="M22" s="10" t="n">
        <v>11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8</v>
      </c>
      <c r="D23" s="10" t="n">
        <v>2</v>
      </c>
      <c r="E23" s="10" t="n">
        <v>6</v>
      </c>
      <c r="F23" s="10" t="n">
        <v>8</v>
      </c>
      <c r="G23" s="10" t="n">
        <v>5</v>
      </c>
      <c r="H23" s="10" t="n">
        <v>2</v>
      </c>
      <c r="I23" s="10" t="n">
        <v>0</v>
      </c>
      <c r="J23" s="10" t="n">
        <v>7</v>
      </c>
      <c r="K23" s="10" t="n">
        <v>13</v>
      </c>
      <c r="L23" s="10" t="n">
        <v>4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1975.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2.4</v>
      </c>
      <c r="C6" s="8" t="n">
        <v>2.8</v>
      </c>
      <c r="D6" s="8" t="n">
        <v>8.4</v>
      </c>
      <c r="E6" s="8" t="n">
        <v>11</v>
      </c>
      <c r="F6" s="8" t="n">
        <v>16.6</v>
      </c>
      <c r="G6" s="8" t="n">
        <v>19.4</v>
      </c>
      <c r="H6" s="8" t="n">
        <v>22.4</v>
      </c>
      <c r="I6" s="8" t="n">
        <v>21.1</v>
      </c>
      <c r="J6" s="8" t="n">
        <v>19.7</v>
      </c>
      <c r="K6" s="8" t="n">
        <v>12.6</v>
      </c>
      <c r="L6" s="8" t="n">
        <v>7.5</v>
      </c>
      <c r="M6" s="8" t="n">
        <v>4.3</v>
      </c>
      <c r="N6" s="9">
        <f>AVERAGE(B6:M6)</f>
        <v/>
      </c>
    </row>
    <row r="7">
      <c r="A7" s="7" t="inlineStr">
        <is>
          <t>Srednja maksimalna</t>
        </is>
      </c>
      <c r="B7" s="8" t="n">
        <v>8.800000000000001</v>
      </c>
      <c r="C7" s="8" t="n">
        <v>8.800000000000001</v>
      </c>
      <c r="D7" s="8" t="n">
        <v>13</v>
      </c>
      <c r="E7" s="8" t="n">
        <v>16.4</v>
      </c>
      <c r="F7" s="8" t="n">
        <v>21.8</v>
      </c>
      <c r="G7" s="8" t="n">
        <v>24.6</v>
      </c>
      <c r="H7" s="8" t="n">
        <v>28.4</v>
      </c>
      <c r="I7" s="8" t="n">
        <v>26.7</v>
      </c>
      <c r="J7" s="8" t="n">
        <v>26.3</v>
      </c>
      <c r="K7" s="8" t="n">
        <v>18.5</v>
      </c>
      <c r="L7" s="8" t="n">
        <v>12.1</v>
      </c>
      <c r="M7" s="8" t="n">
        <v>10</v>
      </c>
      <c r="N7" s="9">
        <f>AVERAGE(B7:M7)</f>
        <v/>
      </c>
    </row>
    <row r="8">
      <c r="A8" s="7" t="inlineStr">
        <is>
          <t>Srednja minimalna</t>
        </is>
      </c>
      <c r="B8" s="8" t="n">
        <v>-2.5</v>
      </c>
      <c r="C8" s="8" t="n">
        <v>-2</v>
      </c>
      <c r="D8" s="8" t="n">
        <v>3.7</v>
      </c>
      <c r="E8" s="8" t="n">
        <v>4.9</v>
      </c>
      <c r="F8" s="8" t="n">
        <v>10.7</v>
      </c>
      <c r="G8" s="8" t="n">
        <v>13</v>
      </c>
      <c r="H8" s="8" t="n">
        <v>15</v>
      </c>
      <c r="I8" s="8" t="n">
        <v>14.7</v>
      </c>
      <c r="J8" s="8" t="n">
        <v>13</v>
      </c>
      <c r="K8" s="8" t="n">
        <v>7.4</v>
      </c>
      <c r="L8" s="8" t="n">
        <v>3.2</v>
      </c>
      <c r="M8" s="8" t="n">
        <v>-0.2</v>
      </c>
      <c r="N8" s="9">
        <f>AVERAGE(B8:M8)</f>
        <v/>
      </c>
    </row>
    <row r="9">
      <c r="A9" s="7" t="inlineStr">
        <is>
          <t>Apsolutni maksimum</t>
        </is>
      </c>
      <c r="B9" s="8" t="n">
        <v>11.3</v>
      </c>
      <c r="C9" s="8" t="n">
        <v>12</v>
      </c>
      <c r="D9" s="8" t="n">
        <v>18.9</v>
      </c>
      <c r="E9" s="8" t="n">
        <v>22.2</v>
      </c>
      <c r="F9" s="8" t="n">
        <v>27.6</v>
      </c>
      <c r="G9" s="8" t="n">
        <v>29.8</v>
      </c>
      <c r="H9" s="8" t="n">
        <v>33.9</v>
      </c>
      <c r="I9" s="8" t="n">
        <v>30.8</v>
      </c>
      <c r="J9" s="8" t="n">
        <v>33.8</v>
      </c>
      <c r="K9" s="8" t="n">
        <v>26.8</v>
      </c>
      <c r="L9" s="8" t="n">
        <v>18.5</v>
      </c>
      <c r="M9" s="8" t="n">
        <v>15.2</v>
      </c>
      <c r="N9" s="9">
        <f>MAX(B9:M9)</f>
        <v/>
      </c>
    </row>
    <row r="10">
      <c r="A10" s="7" t="inlineStr">
        <is>
          <t>Apsolutni minimum</t>
        </is>
      </c>
      <c r="B10" s="8" t="n">
        <v>-5.7</v>
      </c>
      <c r="C10" s="8" t="n">
        <v>-4.6</v>
      </c>
      <c r="D10" s="8" t="n">
        <v>-3.9</v>
      </c>
      <c r="E10" s="8" t="n">
        <v>0.3</v>
      </c>
      <c r="F10" s="8" t="n">
        <v>4.7</v>
      </c>
      <c r="G10" s="8" t="n">
        <v>8.4</v>
      </c>
      <c r="H10" s="8" t="n">
        <v>11</v>
      </c>
      <c r="I10" s="8" t="n">
        <v>12</v>
      </c>
      <c r="J10" s="8" t="n">
        <v>10.2</v>
      </c>
      <c r="K10" s="8" t="n">
        <v>2.2</v>
      </c>
      <c r="L10" s="8" t="n">
        <v>-5</v>
      </c>
      <c r="M10" s="8" t="n">
        <v>-3.7</v>
      </c>
      <c r="N10" s="9">
        <f>MIN(B10:M10)</f>
        <v/>
      </c>
    </row>
    <row r="11">
      <c r="A11" s="7" t="inlineStr">
        <is>
          <t>Sr. br. mraznih dana</t>
        </is>
      </c>
      <c r="B11" s="10" t="n">
        <v>26</v>
      </c>
      <c r="C11" s="10" t="n">
        <v>21</v>
      </c>
      <c r="D11" s="10" t="n">
        <v>7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6</v>
      </c>
      <c r="M11" s="10" t="n">
        <v>18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10</v>
      </c>
      <c r="I12" s="10" t="n">
        <v>4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79.3</v>
      </c>
      <c r="C14" s="8" t="n">
        <v>67.2</v>
      </c>
      <c r="D14" s="8" t="n">
        <v>78</v>
      </c>
      <c r="E14" s="8" t="n">
        <v>71.8</v>
      </c>
      <c r="F14" s="8" t="n">
        <v>75.5</v>
      </c>
      <c r="G14" s="8" t="n">
        <v>69.8</v>
      </c>
      <c r="H14" s="8" t="n">
        <v>63.5</v>
      </c>
      <c r="I14" s="8" t="n">
        <v>65.8</v>
      </c>
      <c r="J14" s="8" t="n">
        <v>73.09999999999999</v>
      </c>
      <c r="K14" s="8" t="n">
        <v>78</v>
      </c>
      <c r="L14" s="8" t="n">
        <v>79.8</v>
      </c>
      <c r="M14" s="8" t="n">
        <v>80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221.3</v>
      </c>
      <c r="C16" s="8" t="n">
        <v>240.6</v>
      </c>
      <c r="D16" s="8" t="n">
        <v>248.2</v>
      </c>
      <c r="E16" s="8" t="n">
        <v>313.4</v>
      </c>
      <c r="F16" s="8" t="n">
        <v>352.3</v>
      </c>
      <c r="G16" s="8" t="n">
        <v>372.8</v>
      </c>
      <c r="H16" s="8" t="n">
        <v>417.2</v>
      </c>
      <c r="I16" s="8" t="n">
        <v>347</v>
      </c>
      <c r="J16" s="8" t="n">
        <v>330.9</v>
      </c>
      <c r="K16" s="8" t="n">
        <v>261.6</v>
      </c>
      <c r="L16" s="8" t="n">
        <v>181.3</v>
      </c>
      <c r="M16" s="8" t="n">
        <v>215.7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15</v>
      </c>
      <c r="D17" s="10" t="n">
        <v>2</v>
      </c>
      <c r="E17" s="10" t="n">
        <v>5</v>
      </c>
      <c r="F17" s="10" t="n">
        <v>3</v>
      </c>
      <c r="G17" s="10" t="n">
        <v>6</v>
      </c>
      <c r="H17" s="10" t="n">
        <v>22</v>
      </c>
      <c r="I17" s="10" t="n">
        <v>10</v>
      </c>
      <c r="J17" s="10" t="n">
        <v>15</v>
      </c>
      <c r="K17" s="10" t="n">
        <v>12</v>
      </c>
      <c r="L17" s="10" t="n">
        <v>2</v>
      </c>
      <c r="M17" s="10" t="n">
        <v>8</v>
      </c>
      <c r="N17" s="11">
        <f>SUM(B17:M17)</f>
        <v/>
      </c>
    </row>
    <row r="18">
      <c r="A18" s="7" t="inlineStr">
        <is>
          <t>Broj oblačnih dana</t>
        </is>
      </c>
      <c r="B18" s="10" t="n">
        <v>7</v>
      </c>
      <c r="C18" s="10" t="n">
        <v>6</v>
      </c>
      <c r="D18" s="10" t="n">
        <v>20</v>
      </c>
      <c r="E18" s="10" t="n">
        <v>5</v>
      </c>
      <c r="F18" s="10" t="n">
        <v>8</v>
      </c>
      <c r="G18" s="10" t="n">
        <v>5</v>
      </c>
      <c r="H18" s="10" t="n">
        <v>0</v>
      </c>
      <c r="I18" s="10" t="n">
        <v>2</v>
      </c>
      <c r="J18" s="10" t="n">
        <v>1</v>
      </c>
      <c r="K18" s="10" t="n">
        <v>10</v>
      </c>
      <c r="L18" s="10" t="n">
        <v>12</v>
      </c>
      <c r="M18" s="10" t="n">
        <v>10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27.6</v>
      </c>
      <c r="C20" s="8" t="n">
        <v>33.6</v>
      </c>
      <c r="D20" s="8" t="n">
        <v>247.3</v>
      </c>
      <c r="E20" s="8" t="n">
        <v>142.1</v>
      </c>
      <c r="F20" s="8" t="n">
        <v>100.5</v>
      </c>
      <c r="G20" s="8" t="n">
        <v>62.2</v>
      </c>
      <c r="H20" s="8" t="n">
        <v>39.2</v>
      </c>
      <c r="I20" s="8" t="n">
        <v>133.5</v>
      </c>
      <c r="J20" s="8" t="n">
        <v>75.7</v>
      </c>
      <c r="K20" s="8" t="n">
        <v>328.3</v>
      </c>
      <c r="L20" s="8" t="n">
        <v>173</v>
      </c>
      <c r="M20" s="8" t="n">
        <v>96.8</v>
      </c>
      <c r="N20" s="9">
        <f>SUM(B20:M20)</f>
        <v/>
      </c>
    </row>
    <row r="21">
      <c r="A21" s="7" t="inlineStr">
        <is>
          <t>Max. dnevna suma</t>
        </is>
      </c>
      <c r="B21" s="8" t="n">
        <v>20.7</v>
      </c>
      <c r="C21" s="8" t="n">
        <v>15.9</v>
      </c>
      <c r="D21" s="8" t="n">
        <v>47.1</v>
      </c>
      <c r="E21" s="8" t="n">
        <v>46.1</v>
      </c>
      <c r="F21" s="8" t="n">
        <v>16.3</v>
      </c>
      <c r="G21" s="8" t="n">
        <v>23.3</v>
      </c>
      <c r="H21" s="8" t="n">
        <v>17.5</v>
      </c>
      <c r="I21" s="8" t="n">
        <v>37.9</v>
      </c>
      <c r="J21" s="8" t="n">
        <v>44</v>
      </c>
      <c r="K21" s="8" t="n">
        <v>115.8</v>
      </c>
      <c r="L21" s="8" t="n">
        <v>32.2</v>
      </c>
      <c r="M21" s="8" t="n">
        <v>52.2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6</v>
      </c>
      <c r="C22" s="10" t="n">
        <v>8</v>
      </c>
      <c r="D22" s="10" t="n">
        <v>25</v>
      </c>
      <c r="E22" s="10" t="n">
        <v>17</v>
      </c>
      <c r="F22" s="10" t="n">
        <v>25</v>
      </c>
      <c r="G22" s="10" t="n">
        <v>21</v>
      </c>
      <c r="H22" s="10" t="n">
        <v>12</v>
      </c>
      <c r="I22" s="10" t="n">
        <v>14</v>
      </c>
      <c r="J22" s="10" t="n">
        <v>9</v>
      </c>
      <c r="K22" s="10" t="n">
        <v>16</v>
      </c>
      <c r="L22" s="10" t="n">
        <v>18</v>
      </c>
      <c r="M22" s="10" t="n">
        <v>10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2</v>
      </c>
      <c r="D23" s="10" t="n">
        <v>8</v>
      </c>
      <c r="E23" s="10" t="n">
        <v>4</v>
      </c>
      <c r="F23" s="10" t="n">
        <v>5</v>
      </c>
      <c r="G23" s="10" t="n">
        <v>2</v>
      </c>
      <c r="H23" s="10" t="n">
        <v>2</v>
      </c>
      <c r="I23" s="10" t="n">
        <v>5</v>
      </c>
      <c r="J23" s="10" t="n">
        <v>2</v>
      </c>
      <c r="K23" s="10" t="n">
        <v>8</v>
      </c>
      <c r="L23" s="10" t="n">
        <v>9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1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1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1976.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1.8</v>
      </c>
      <c r="C6" s="8" t="n">
        <v>4.5</v>
      </c>
      <c r="D6" s="8" t="n">
        <v>5.5</v>
      </c>
      <c r="E6" s="8" t="n">
        <v>10.6</v>
      </c>
      <c r="F6" s="8" t="n">
        <v>16</v>
      </c>
      <c r="G6" s="8" t="n">
        <v>18.8</v>
      </c>
      <c r="H6" s="8" t="n">
        <v>21.5</v>
      </c>
      <c r="I6" s="8" t="n">
        <v>18.3</v>
      </c>
      <c r="J6" s="8" t="n">
        <v>15.4</v>
      </c>
      <c r="K6" s="8" t="n">
        <v>13.9</v>
      </c>
      <c r="L6" s="8" t="n">
        <v>8.300000000000001</v>
      </c>
      <c r="M6" s="8" t="n">
        <v>4.9</v>
      </c>
      <c r="N6" s="9">
        <f>AVERAGE(B6:M6)</f>
        <v/>
      </c>
    </row>
    <row r="7">
      <c r="A7" s="7" t="inlineStr">
        <is>
          <t>Srednja maksimalna</t>
        </is>
      </c>
      <c r="B7" s="8" t="n">
        <v>7</v>
      </c>
      <c r="C7" s="8" t="n">
        <v>10.8</v>
      </c>
      <c r="D7" s="8" t="n">
        <v>11.3</v>
      </c>
      <c r="E7" s="8" t="n">
        <v>15.8</v>
      </c>
      <c r="F7" s="8" t="n">
        <v>21.4</v>
      </c>
      <c r="G7" s="8" t="n">
        <v>24.7</v>
      </c>
      <c r="H7" s="8" t="n">
        <v>27.1</v>
      </c>
      <c r="I7" s="8" t="n">
        <v>24</v>
      </c>
      <c r="J7" s="8" t="n">
        <v>20.7</v>
      </c>
      <c r="K7" s="8" t="n">
        <v>19.2</v>
      </c>
      <c r="L7" s="8" t="n">
        <v>12.1</v>
      </c>
      <c r="M7" s="8" t="n">
        <v>9</v>
      </c>
      <c r="N7" s="9">
        <f>AVERAGE(B7:M7)</f>
        <v/>
      </c>
    </row>
    <row r="8">
      <c r="A8" s="7" t="inlineStr">
        <is>
          <t>Srednja minimalna</t>
        </is>
      </c>
      <c r="B8" s="8" t="n">
        <v>-2.9</v>
      </c>
      <c r="C8" s="8" t="n">
        <v>-0.7</v>
      </c>
      <c r="D8" s="8" t="n">
        <v>-0.3</v>
      </c>
      <c r="E8" s="8" t="n">
        <v>5</v>
      </c>
      <c r="F8" s="8" t="n">
        <v>9.699999999999999</v>
      </c>
      <c r="G8" s="8" t="n">
        <v>12.1</v>
      </c>
      <c r="H8" s="8" t="n">
        <v>14.8</v>
      </c>
      <c r="I8" s="8" t="n">
        <v>12</v>
      </c>
      <c r="J8" s="8" t="n">
        <v>10</v>
      </c>
      <c r="K8" s="8" t="n">
        <v>9.1</v>
      </c>
      <c r="L8" s="8" t="n">
        <v>5.1</v>
      </c>
      <c r="M8" s="8" t="n">
        <v>0.9</v>
      </c>
      <c r="N8" s="9">
        <f>AVERAGE(B8:M8)</f>
        <v/>
      </c>
    </row>
    <row r="9">
      <c r="A9" s="7" t="inlineStr">
        <is>
          <t>Apsolutni maksimum</t>
        </is>
      </c>
      <c r="B9" s="8" t="n">
        <v>12</v>
      </c>
      <c r="C9" s="8" t="n">
        <v>16.6</v>
      </c>
      <c r="D9" s="8" t="n">
        <v>19.2</v>
      </c>
      <c r="E9" s="8" t="n">
        <v>20.7</v>
      </c>
      <c r="F9" s="8" t="n">
        <v>26.6</v>
      </c>
      <c r="G9" s="8" t="n">
        <v>29.6</v>
      </c>
      <c r="H9" s="8" t="n">
        <v>31.4</v>
      </c>
      <c r="I9" s="8" t="n">
        <v>27.3</v>
      </c>
      <c r="J9" s="8" t="n">
        <v>25.4</v>
      </c>
      <c r="K9" s="8" t="n">
        <v>25.3</v>
      </c>
      <c r="L9" s="8" t="n">
        <v>17.8</v>
      </c>
      <c r="M9" s="8" t="n">
        <v>13</v>
      </c>
      <c r="N9" s="9">
        <f>MAX(B9:M9)</f>
        <v/>
      </c>
    </row>
    <row r="10">
      <c r="A10" s="7" t="inlineStr">
        <is>
          <t>Apsolutni minimum</t>
        </is>
      </c>
      <c r="B10" s="8" t="n">
        <v>-21.1</v>
      </c>
      <c r="C10" s="8" t="n">
        <v>-6.8</v>
      </c>
      <c r="D10" s="8" t="n">
        <v>-7.1</v>
      </c>
      <c r="E10" s="8" t="n">
        <v>2.1</v>
      </c>
      <c r="F10" s="8" t="n">
        <v>3.3</v>
      </c>
      <c r="G10" s="8" t="n">
        <v>7.2</v>
      </c>
      <c r="H10" s="8" t="n">
        <v>11</v>
      </c>
      <c r="I10" s="8" t="n">
        <v>8.4</v>
      </c>
      <c r="J10" s="8" t="n">
        <v>5.3</v>
      </c>
      <c r="K10" s="8" t="n">
        <v>1.3</v>
      </c>
      <c r="L10" s="8" t="n">
        <v>-4.7</v>
      </c>
      <c r="M10" s="8" t="n">
        <v>-6.5</v>
      </c>
      <c r="N10" s="9">
        <f>MIN(B10:M10)</f>
        <v/>
      </c>
    </row>
    <row r="11">
      <c r="A11" s="7" t="inlineStr">
        <is>
          <t>Sr. br. mraznih dana</t>
        </is>
      </c>
      <c r="B11" s="10" t="n">
        <v>25</v>
      </c>
      <c r="C11" s="10" t="n">
        <v>17</v>
      </c>
      <c r="D11" s="10" t="n">
        <v>17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8</v>
      </c>
      <c r="M11" s="10" t="n">
        <v>11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4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78.90000000000001</v>
      </c>
      <c r="C14" s="8" t="n">
        <v>74.8</v>
      </c>
      <c r="D14" s="8" t="n">
        <v>67.90000000000001</v>
      </c>
      <c r="E14" s="8" t="n">
        <v>77.7</v>
      </c>
      <c r="F14" s="8" t="n">
        <v>74.7</v>
      </c>
      <c r="G14" s="8" t="n">
        <v>70.3</v>
      </c>
      <c r="H14" s="8" t="n">
        <v>68.8</v>
      </c>
      <c r="I14" s="8" t="n">
        <v>72.7</v>
      </c>
      <c r="J14" s="8" t="n">
        <v>78.3</v>
      </c>
      <c r="K14" s="8" t="n">
        <v>82.40000000000001</v>
      </c>
      <c r="L14" s="8" t="n">
        <v>83.59999999999999</v>
      </c>
      <c r="M14" s="8" t="n">
        <v>83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184.7</v>
      </c>
      <c r="C16" s="8" t="n">
        <v>230.3</v>
      </c>
      <c r="D16" s="8" t="n">
        <v>307.9</v>
      </c>
      <c r="E16" s="8" t="n">
        <v>301.2</v>
      </c>
      <c r="F16" s="8" t="n">
        <v>355</v>
      </c>
      <c r="G16" s="8" t="n">
        <v>370.1</v>
      </c>
      <c r="H16" s="8" t="n">
        <v>394.1</v>
      </c>
      <c r="I16" s="8" t="n">
        <v>368</v>
      </c>
      <c r="J16" s="8" t="n">
        <v>311.5</v>
      </c>
      <c r="K16" s="8" t="n">
        <v>255.6</v>
      </c>
      <c r="L16" s="8" t="n">
        <v>163.4</v>
      </c>
      <c r="M16" s="8" t="n">
        <v>154.4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14</v>
      </c>
      <c r="D17" s="10" t="n">
        <v>11</v>
      </c>
      <c r="E17" s="10" t="n">
        <v>5</v>
      </c>
      <c r="F17" s="10" t="n">
        <v>6</v>
      </c>
      <c r="G17" s="10" t="n">
        <v>8</v>
      </c>
      <c r="H17" s="10" t="n">
        <v>13</v>
      </c>
      <c r="I17" s="10" t="n">
        <v>11</v>
      </c>
      <c r="J17" s="10" t="n">
        <v>5</v>
      </c>
      <c r="K17" s="10" t="n">
        <v>5</v>
      </c>
      <c r="L17" s="10" t="n">
        <v>4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12</v>
      </c>
      <c r="D18" s="10" t="n">
        <v>8</v>
      </c>
      <c r="E18" s="10" t="n">
        <v>11</v>
      </c>
      <c r="F18" s="10" t="n">
        <v>9</v>
      </c>
      <c r="G18" s="10" t="n">
        <v>4</v>
      </c>
      <c r="H18" s="10" t="n">
        <v>1</v>
      </c>
      <c r="I18" s="10" t="n">
        <v>4</v>
      </c>
      <c r="J18" s="10" t="n">
        <v>3</v>
      </c>
      <c r="K18" s="10" t="n">
        <v>11</v>
      </c>
      <c r="L18" s="10" t="n">
        <v>16</v>
      </c>
      <c r="M18" s="10" t="n">
        <v>17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76.2</v>
      </c>
      <c r="C20" s="8" t="n">
        <v>60.7</v>
      </c>
      <c r="D20" s="8" t="n">
        <v>112</v>
      </c>
      <c r="E20" s="8" t="n">
        <v>206.1</v>
      </c>
      <c r="F20" s="8" t="n">
        <v>84.40000000000001</v>
      </c>
      <c r="G20" s="8" t="n">
        <v>94</v>
      </c>
      <c r="H20" s="8" t="n">
        <v>113.1</v>
      </c>
      <c r="I20" s="8" t="n">
        <v>107.8</v>
      </c>
      <c r="J20" s="8" t="n">
        <v>150</v>
      </c>
      <c r="K20" s="8" t="n">
        <v>240.6</v>
      </c>
      <c r="L20" s="8" t="n">
        <v>298.3</v>
      </c>
      <c r="M20" s="8" t="n">
        <v>287.4</v>
      </c>
      <c r="N20" s="9">
        <f>SUM(B20:M20)</f>
        <v/>
      </c>
    </row>
    <row r="21">
      <c r="A21" s="7" t="inlineStr">
        <is>
          <t>Max. dnevna suma</t>
        </is>
      </c>
      <c r="B21" s="8" t="n">
        <v>17.1</v>
      </c>
      <c r="C21" s="8" t="n">
        <v>19.1</v>
      </c>
      <c r="D21" s="8" t="n">
        <v>51.7</v>
      </c>
      <c r="E21" s="8" t="n">
        <v>37.5</v>
      </c>
      <c r="F21" s="8" t="n">
        <v>14.1</v>
      </c>
      <c r="G21" s="8" t="n">
        <v>25.1</v>
      </c>
      <c r="H21" s="8" t="n">
        <v>34.3</v>
      </c>
      <c r="I21" s="8" t="n">
        <v>36.5</v>
      </c>
      <c r="J21" s="8" t="n">
        <v>37.2</v>
      </c>
      <c r="K21" s="8" t="n">
        <v>45.4</v>
      </c>
      <c r="L21" s="8" t="n">
        <v>50.7</v>
      </c>
      <c r="M21" s="8" t="n">
        <v>57.3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18</v>
      </c>
      <c r="C22" s="10" t="n">
        <v>11</v>
      </c>
      <c r="D22" s="10" t="n">
        <v>11</v>
      </c>
      <c r="E22" s="10" t="n">
        <v>20</v>
      </c>
      <c r="F22" s="10" t="n">
        <v>17</v>
      </c>
      <c r="G22" s="10" t="n">
        <v>19</v>
      </c>
      <c r="H22" s="10" t="n">
        <v>17</v>
      </c>
      <c r="I22" s="10" t="n">
        <v>19</v>
      </c>
      <c r="J22" s="10" t="n">
        <v>16</v>
      </c>
      <c r="K22" s="10" t="n">
        <v>18</v>
      </c>
      <c r="L22" s="10" t="n">
        <v>24</v>
      </c>
      <c r="M22" s="10" t="n">
        <v>21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2</v>
      </c>
      <c r="D23" s="10" t="n">
        <v>4</v>
      </c>
      <c r="E23" s="10" t="n">
        <v>7</v>
      </c>
      <c r="F23" s="10" t="n">
        <v>4</v>
      </c>
      <c r="G23" s="10" t="n">
        <v>4</v>
      </c>
      <c r="H23" s="10" t="n">
        <v>3</v>
      </c>
      <c r="I23" s="10" t="n">
        <v>3</v>
      </c>
      <c r="J23" s="10" t="n">
        <v>5</v>
      </c>
      <c r="K23" s="10" t="n">
        <v>7</v>
      </c>
      <c r="L23" s="10" t="n">
        <v>11</v>
      </c>
      <c r="M23" s="10" t="n">
        <v>10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4</v>
      </c>
      <c r="C25" s="10" t="n">
        <v>0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4</v>
      </c>
      <c r="C26" s="10" t="n">
        <v>0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1977.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5</v>
      </c>
      <c r="C6" s="8" t="n">
        <v>7.4</v>
      </c>
      <c r="D6" s="8" t="n">
        <v>10.1</v>
      </c>
      <c r="E6" s="8" t="n">
        <v>11</v>
      </c>
      <c r="F6" s="8" t="n">
        <v>16.2</v>
      </c>
      <c r="G6" s="8" t="n">
        <v>19.4</v>
      </c>
      <c r="H6" s="8" t="n">
        <v>22.9</v>
      </c>
      <c r="I6" s="8" t="n">
        <v>21.4</v>
      </c>
      <c r="J6" s="8" t="n">
        <v>16.8</v>
      </c>
      <c r="K6" s="8" t="n">
        <v>12.4</v>
      </c>
      <c r="L6" s="8" t="n">
        <v>8.9</v>
      </c>
      <c r="M6" s="8" t="n">
        <v>2.1</v>
      </c>
      <c r="N6" s="9">
        <f>AVERAGE(B6:M6)</f>
        <v/>
      </c>
    </row>
    <row r="7">
      <c r="A7" s="7" t="inlineStr">
        <is>
          <t>Srednja maksimalna</t>
        </is>
      </c>
      <c r="B7" s="8" t="n">
        <v>9.4</v>
      </c>
      <c r="C7" s="8" t="n">
        <v>11.5</v>
      </c>
      <c r="D7" s="8" t="n">
        <v>16</v>
      </c>
      <c r="E7" s="8" t="n">
        <v>16.5</v>
      </c>
      <c r="F7" s="8" t="n">
        <v>21.6</v>
      </c>
      <c r="G7" s="8" t="n">
        <v>24.9</v>
      </c>
      <c r="H7" s="8" t="n">
        <v>28.7</v>
      </c>
      <c r="I7" s="8" t="n">
        <v>27.1</v>
      </c>
      <c r="J7" s="8" t="n">
        <v>22.3</v>
      </c>
      <c r="K7" s="8" t="n">
        <v>19</v>
      </c>
      <c r="L7" s="8" t="n">
        <v>13.5</v>
      </c>
      <c r="M7" s="8" t="n">
        <v>7.6</v>
      </c>
      <c r="N7" s="9">
        <f>AVERAGE(B7:M7)</f>
        <v/>
      </c>
    </row>
    <row r="8">
      <c r="A8" s="7" t="inlineStr">
        <is>
          <t>Srednja minimalna</t>
        </is>
      </c>
      <c r="B8" s="8" t="n">
        <v>0.9</v>
      </c>
      <c r="C8" s="8" t="n">
        <v>3.1</v>
      </c>
      <c r="D8" s="8" t="n">
        <v>4.1</v>
      </c>
      <c r="E8" s="8" t="n">
        <v>4.7</v>
      </c>
      <c r="F8" s="8" t="n">
        <v>9.5</v>
      </c>
      <c r="G8" s="8" t="n">
        <v>12.2</v>
      </c>
      <c r="H8" s="8" t="n">
        <v>15.6</v>
      </c>
      <c r="I8" s="8" t="n">
        <v>14.7</v>
      </c>
      <c r="J8" s="8" t="n">
        <v>11.4</v>
      </c>
      <c r="K8" s="8" t="n">
        <v>6.2</v>
      </c>
      <c r="L8" s="8" t="n">
        <v>4.7</v>
      </c>
      <c r="M8" s="8" t="n">
        <v>-2.3</v>
      </c>
      <c r="N8" s="9">
        <f>AVERAGE(B8:M8)</f>
        <v/>
      </c>
    </row>
    <row r="9">
      <c r="A9" s="7" t="inlineStr">
        <is>
          <t>Apsolutni maksimum</t>
        </is>
      </c>
      <c r="B9" s="8" t="n">
        <v>13.3</v>
      </c>
      <c r="C9" s="8" t="n">
        <v>16.9</v>
      </c>
      <c r="D9" s="8" t="n">
        <v>24.3</v>
      </c>
      <c r="E9" s="8" t="n">
        <v>24.1</v>
      </c>
      <c r="F9" s="8" t="n">
        <v>28.6</v>
      </c>
      <c r="G9" s="8" t="n">
        <v>28.8</v>
      </c>
      <c r="H9" s="8" t="n">
        <v>32.7</v>
      </c>
      <c r="I9" s="8" t="n">
        <v>33.2</v>
      </c>
      <c r="J9" s="8" t="n">
        <v>28.1</v>
      </c>
      <c r="K9" s="8" t="n">
        <v>21.4</v>
      </c>
      <c r="L9" s="8" t="n">
        <v>20.4</v>
      </c>
      <c r="M9" s="8" t="n">
        <v>12.3</v>
      </c>
      <c r="N9" s="9">
        <f>MAX(B9:M9)</f>
        <v/>
      </c>
    </row>
    <row r="10">
      <c r="A10" s="7" t="inlineStr">
        <is>
          <t>Apsolutni minimum</t>
        </is>
      </c>
      <c r="B10" s="8" t="n">
        <v>-5.6</v>
      </c>
      <c r="C10" s="8" t="n">
        <v>-4.7</v>
      </c>
      <c r="D10" s="8" t="n">
        <v>-3.3</v>
      </c>
      <c r="E10" s="8" t="n">
        <v>-1.5</v>
      </c>
      <c r="F10" s="8" t="n">
        <v>4</v>
      </c>
      <c r="G10" s="8" t="n">
        <v>5.9</v>
      </c>
      <c r="H10" s="8" t="n">
        <v>12.6</v>
      </c>
      <c r="I10" s="8" t="n">
        <v>9.199999999999999</v>
      </c>
      <c r="J10" s="8" t="n">
        <v>1.8</v>
      </c>
      <c r="K10" s="8" t="n">
        <v>2.5</v>
      </c>
      <c r="L10" s="8" t="n">
        <v>-4.7</v>
      </c>
      <c r="M10" s="8" t="n">
        <v>-8.300000000000001</v>
      </c>
      <c r="N10" s="9">
        <f>MIN(B10:M10)</f>
        <v/>
      </c>
    </row>
    <row r="11">
      <c r="A11" s="7" t="inlineStr">
        <is>
          <t>Sr. br. mraznih dana</t>
        </is>
      </c>
      <c r="B11" s="10" t="n">
        <v>15</v>
      </c>
      <c r="C11" s="10" t="n">
        <v>9</v>
      </c>
      <c r="D11" s="10" t="n">
        <v>7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6</v>
      </c>
      <c r="M11" s="10" t="n">
        <v>23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6</v>
      </c>
      <c r="I12" s="10" t="n">
        <v>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84.90000000000001</v>
      </c>
      <c r="C14" s="8" t="n">
        <v>84</v>
      </c>
      <c r="D14" s="8" t="n">
        <v>75.8</v>
      </c>
      <c r="E14" s="8" t="n">
        <v>68.3</v>
      </c>
      <c r="F14" s="8" t="n">
        <v>69.59999999999999</v>
      </c>
      <c r="G14" s="8" t="n">
        <v>66.40000000000001</v>
      </c>
      <c r="H14" s="8" t="n">
        <v>58.9</v>
      </c>
      <c r="I14" s="8" t="n">
        <v>67.5</v>
      </c>
      <c r="J14" s="8" t="n">
        <v>71.40000000000001</v>
      </c>
      <c r="K14" s="8" t="n">
        <v>80.40000000000001</v>
      </c>
      <c r="L14" s="8" t="n">
        <v>84.40000000000001</v>
      </c>
      <c r="M14" s="8" t="n">
        <v>77.59999999999999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144.8</v>
      </c>
      <c r="C16" s="8" t="n">
        <v>192.5</v>
      </c>
      <c r="D16" s="8" t="n">
        <v>301.2</v>
      </c>
      <c r="E16" s="8" t="n">
        <v>341.6</v>
      </c>
      <c r="F16" s="8" t="n">
        <v>378.5</v>
      </c>
      <c r="G16" s="8" t="n">
        <v>392.7</v>
      </c>
      <c r="H16" s="8" t="n">
        <v>423.2</v>
      </c>
      <c r="I16" s="8" t="n">
        <v>368.8</v>
      </c>
      <c r="J16" s="8" t="n">
        <v>315</v>
      </c>
      <c r="K16" s="8" t="n">
        <v>297.5</v>
      </c>
      <c r="L16" s="8" t="n">
        <v>196.8</v>
      </c>
      <c r="M16" s="8" t="n">
        <v>197.8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2</v>
      </c>
      <c r="D17" s="10" t="n">
        <v>5</v>
      </c>
      <c r="E17" s="10" t="n">
        <v>4</v>
      </c>
      <c r="F17" s="10" t="n">
        <v>10</v>
      </c>
      <c r="G17" s="10" t="n">
        <v>9</v>
      </c>
      <c r="H17" s="10" t="n">
        <v>17</v>
      </c>
      <c r="I17" s="10" t="n">
        <v>12</v>
      </c>
      <c r="J17" s="10" t="n">
        <v>14</v>
      </c>
      <c r="K17" s="10" t="n">
        <v>14</v>
      </c>
      <c r="L17" s="10" t="n">
        <v>2</v>
      </c>
      <c r="M17" s="10" t="n">
        <v>11</v>
      </c>
      <c r="N17" s="11">
        <f>SUM(B17:M17)</f>
        <v/>
      </c>
    </row>
    <row r="18">
      <c r="A18" s="7" t="inlineStr">
        <is>
          <t>Broj oblačnih dana</t>
        </is>
      </c>
      <c r="B18" s="10" t="n">
        <v>20</v>
      </c>
      <c r="C18" s="10" t="n">
        <v>13</v>
      </c>
      <c r="D18" s="10" t="n">
        <v>11</v>
      </c>
      <c r="E18" s="10" t="n">
        <v>5</v>
      </c>
      <c r="F18" s="10" t="n">
        <v>6</v>
      </c>
      <c r="G18" s="10" t="n">
        <v>2</v>
      </c>
      <c r="H18" s="10" t="n">
        <v>0</v>
      </c>
      <c r="I18" s="10" t="n">
        <v>4</v>
      </c>
      <c r="J18" s="10" t="n">
        <v>5</v>
      </c>
      <c r="K18" s="10" t="n">
        <v>3</v>
      </c>
      <c r="L18" s="10" t="n">
        <v>13</v>
      </c>
      <c r="M18" s="10" t="n">
        <v>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211.4</v>
      </c>
      <c r="C20" s="8" t="n">
        <v>194.4</v>
      </c>
      <c r="D20" s="8" t="n">
        <v>142</v>
      </c>
      <c r="E20" s="8" t="n">
        <v>78.59999999999999</v>
      </c>
      <c r="F20" s="8" t="n">
        <v>111.8</v>
      </c>
      <c r="G20" s="8" t="n">
        <v>24.3</v>
      </c>
      <c r="H20" s="8" t="n">
        <v>32.6</v>
      </c>
      <c r="I20" s="8" t="n">
        <v>136.2</v>
      </c>
      <c r="J20" s="8" t="n">
        <v>268.1</v>
      </c>
      <c r="K20" s="8" t="n">
        <v>85.59999999999999</v>
      </c>
      <c r="L20" s="8" t="n">
        <v>251.6</v>
      </c>
      <c r="M20" s="8" t="n">
        <v>184</v>
      </c>
      <c r="N20" s="9">
        <f>SUM(B20:M20)</f>
        <v/>
      </c>
    </row>
    <row r="21">
      <c r="A21" s="7" t="inlineStr">
        <is>
          <t>Max. dnevna suma</t>
        </is>
      </c>
      <c r="B21" s="8" t="n">
        <v>52.8</v>
      </c>
      <c r="C21" s="8" t="n">
        <v>47.5</v>
      </c>
      <c r="D21" s="8" t="n">
        <v>37.2</v>
      </c>
      <c r="E21" s="8" t="n">
        <v>32.7</v>
      </c>
      <c r="F21" s="8" t="n">
        <v>25.8</v>
      </c>
      <c r="G21" s="8" t="n">
        <v>7</v>
      </c>
      <c r="H21" s="8" t="n">
        <v>9.800000000000001</v>
      </c>
      <c r="I21" s="8" t="n">
        <v>38.2</v>
      </c>
      <c r="J21" s="8" t="n">
        <v>92.90000000000001</v>
      </c>
      <c r="K21" s="8" t="n">
        <v>32.7</v>
      </c>
      <c r="L21" s="8" t="n">
        <v>60.1</v>
      </c>
      <c r="M21" s="8" t="n">
        <v>46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22</v>
      </c>
      <c r="D22" s="10" t="n">
        <v>12</v>
      </c>
      <c r="E22" s="10" t="n">
        <v>13</v>
      </c>
      <c r="F22" s="10" t="n">
        <v>15</v>
      </c>
      <c r="G22" s="10" t="n">
        <v>14</v>
      </c>
      <c r="H22" s="10" t="n">
        <v>10</v>
      </c>
      <c r="I22" s="10" t="n">
        <v>16</v>
      </c>
      <c r="J22" s="10" t="n">
        <v>12</v>
      </c>
      <c r="K22" s="10" t="n">
        <v>7</v>
      </c>
      <c r="L22" s="10" t="n">
        <v>21</v>
      </c>
      <c r="M22" s="10" t="n">
        <v>12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5</v>
      </c>
      <c r="D23" s="10" t="n">
        <v>7</v>
      </c>
      <c r="E23" s="10" t="n">
        <v>2</v>
      </c>
      <c r="F23" s="10" t="n">
        <v>5</v>
      </c>
      <c r="G23" s="10" t="n">
        <v>0</v>
      </c>
      <c r="H23" s="10" t="n">
        <v>0</v>
      </c>
      <c r="I23" s="10" t="n">
        <v>6</v>
      </c>
      <c r="J23" s="10" t="n">
        <v>3</v>
      </c>
      <c r="K23" s="10" t="n">
        <v>4</v>
      </c>
      <c r="L23" s="10" t="n">
        <v>8</v>
      </c>
      <c r="M23" s="10" t="n">
        <v>6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1978.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3.9</v>
      </c>
      <c r="C6" s="8" t="n">
        <v>4.6</v>
      </c>
      <c r="D6" s="8" t="n">
        <v>7.8</v>
      </c>
      <c r="E6" s="8" t="n">
        <v>10.7</v>
      </c>
      <c r="F6" s="8" t="n">
        <v>13.8</v>
      </c>
      <c r="G6" s="8" t="n">
        <v>19.1</v>
      </c>
      <c r="H6" s="8" t="n">
        <v>20.9</v>
      </c>
      <c r="I6" s="8" t="n">
        <v>21.4</v>
      </c>
      <c r="J6" s="8" t="n">
        <v>15.7</v>
      </c>
      <c r="K6" s="8" t="n">
        <v>12.3</v>
      </c>
      <c r="L6" s="8" t="n">
        <v>5.3</v>
      </c>
      <c r="M6" s="8" t="n">
        <v>5.7</v>
      </c>
      <c r="N6" s="9">
        <f>AVERAGE(B6:M6)</f>
        <v/>
      </c>
    </row>
    <row r="7">
      <c r="A7" s="7" t="inlineStr">
        <is>
          <t>Srednja maksimalna</t>
        </is>
      </c>
      <c r="B7" s="8" t="n">
        <v>8.199999999999999</v>
      </c>
      <c r="C7" s="8" t="n">
        <v>9.4</v>
      </c>
      <c r="D7" s="8" t="n">
        <v>13.2</v>
      </c>
      <c r="E7" s="8" t="n">
        <v>15.4</v>
      </c>
      <c r="F7" s="8" t="n">
        <v>18.6</v>
      </c>
      <c r="G7" s="8" t="n">
        <v>24.3</v>
      </c>
      <c r="H7" s="8" t="n">
        <v>26.9</v>
      </c>
      <c r="I7" s="8" t="n">
        <v>27.4</v>
      </c>
      <c r="J7" s="8" t="n">
        <v>21.4</v>
      </c>
      <c r="K7" s="8" t="n">
        <v>18.3</v>
      </c>
      <c r="L7" s="8" t="n">
        <v>12.4</v>
      </c>
      <c r="M7" s="8" t="n">
        <v>10.1</v>
      </c>
      <c r="N7" s="9">
        <f>AVERAGE(B7:M7)</f>
        <v/>
      </c>
    </row>
    <row r="8">
      <c r="A8" s="7" t="inlineStr">
        <is>
          <t>Srednja minimalna</t>
        </is>
      </c>
      <c r="B8" s="8" t="n">
        <v>0.2</v>
      </c>
      <c r="C8" s="8" t="n">
        <v>-0.1</v>
      </c>
      <c r="D8" s="8" t="n">
        <v>1.9</v>
      </c>
      <c r="E8" s="8" t="n">
        <v>5.8</v>
      </c>
      <c r="F8" s="8" t="n">
        <v>8.300000000000001</v>
      </c>
      <c r="G8" s="8" t="n">
        <v>12.6</v>
      </c>
      <c r="H8" s="8" t="n">
        <v>13.3</v>
      </c>
      <c r="I8" s="8" t="n">
        <v>13.8</v>
      </c>
      <c r="J8" s="8" t="n">
        <v>9.699999999999999</v>
      </c>
      <c r="K8" s="8" t="n">
        <v>7</v>
      </c>
      <c r="L8" s="8" t="n">
        <v>0.2</v>
      </c>
      <c r="M8" s="8" t="n">
        <v>1.4</v>
      </c>
      <c r="N8" s="9">
        <f>AVERAGE(B8:M8)</f>
        <v/>
      </c>
    </row>
    <row r="9">
      <c r="A9" s="7" t="inlineStr">
        <is>
          <t>Apsolutni maksimum</t>
        </is>
      </c>
      <c r="B9" s="8" t="n">
        <v>14.6</v>
      </c>
      <c r="C9" s="8" t="n">
        <v>14.7</v>
      </c>
      <c r="D9" s="8" t="n">
        <v>18.8</v>
      </c>
      <c r="E9" s="8" t="n">
        <v>19.9</v>
      </c>
      <c r="F9" s="8" t="n">
        <v>22.9</v>
      </c>
      <c r="G9" s="8" t="n">
        <v>27</v>
      </c>
      <c r="H9" s="8" t="n">
        <v>30.9</v>
      </c>
      <c r="I9" s="8" t="n">
        <v>31.3</v>
      </c>
      <c r="J9" s="8" t="n">
        <v>26.2</v>
      </c>
      <c r="K9" s="8" t="n">
        <v>26.5</v>
      </c>
      <c r="L9" s="8" t="n">
        <v>16.1</v>
      </c>
      <c r="M9" s="8" t="n">
        <v>15.5</v>
      </c>
      <c r="N9" s="9">
        <f>MAX(B9:M9)</f>
        <v/>
      </c>
    </row>
    <row r="10">
      <c r="A10" s="7" t="inlineStr">
        <is>
          <t>Apsolutni minimum</t>
        </is>
      </c>
      <c r="B10" s="8" t="n">
        <v>-6.4</v>
      </c>
      <c r="C10" s="8" t="n">
        <v>-7.3</v>
      </c>
      <c r="D10" s="8" t="n">
        <v>-3</v>
      </c>
      <c r="E10" s="8" t="n">
        <v>0.7</v>
      </c>
      <c r="F10" s="8" t="n">
        <v>2.1</v>
      </c>
      <c r="G10" s="8" t="n">
        <v>8.1</v>
      </c>
      <c r="H10" s="8" t="n">
        <v>9.6</v>
      </c>
      <c r="I10" s="8" t="n">
        <v>9.5</v>
      </c>
      <c r="J10" s="8" t="n">
        <v>4.1</v>
      </c>
      <c r="K10" s="8" t="n">
        <v>-2.7</v>
      </c>
      <c r="L10" s="8" t="n">
        <v>-3.2</v>
      </c>
      <c r="M10" s="8" t="n">
        <v>-5.4</v>
      </c>
      <c r="N10" s="9">
        <f>MIN(B10:M10)</f>
        <v/>
      </c>
    </row>
    <row r="11">
      <c r="A11" s="7" t="inlineStr">
        <is>
          <t>Sr. br. mraznih dana</t>
        </is>
      </c>
      <c r="B11" s="10" t="n">
        <v>15</v>
      </c>
      <c r="C11" s="10" t="n">
        <v>16</v>
      </c>
      <c r="D11" s="10" t="n">
        <v>9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20</v>
      </c>
      <c r="M11" s="10" t="n">
        <v>12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4</v>
      </c>
      <c r="I12" s="10" t="n">
        <v>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</v>
      </c>
      <c r="C14" s="8" t="n">
        <v>79.90000000000001</v>
      </c>
      <c r="D14" s="8" t="n">
        <v>74.3</v>
      </c>
      <c r="E14" s="8" t="n">
        <v>77.5</v>
      </c>
      <c r="F14" s="8" t="n">
        <v>78</v>
      </c>
      <c r="G14" s="8" t="n">
        <v>73.2</v>
      </c>
      <c r="H14" s="8" t="n">
        <v>64.90000000000001</v>
      </c>
      <c r="I14" s="8" t="n">
        <v>60.2</v>
      </c>
      <c r="J14" s="8" t="n">
        <v>75.09999999999999</v>
      </c>
      <c r="K14" s="8" t="n">
        <v>75.40000000000001</v>
      </c>
      <c r="L14" s="8" t="n">
        <v>79</v>
      </c>
      <c r="M14" s="8" t="n">
        <v>84.3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180</v>
      </c>
      <c r="C16" s="8" t="n">
        <v>165.7</v>
      </c>
      <c r="D16" s="8" t="n">
        <v>277.6</v>
      </c>
      <c r="E16" s="8" t="n">
        <v>294.7</v>
      </c>
      <c r="F16" s="8" t="n">
        <v>315.1</v>
      </c>
      <c r="G16" s="8" t="n">
        <v>388.8</v>
      </c>
      <c r="H16" s="8" t="n">
        <v>421.8</v>
      </c>
      <c r="I16" s="8" t="n">
        <v>389.4</v>
      </c>
      <c r="J16" s="8" t="n">
        <v>285.3</v>
      </c>
      <c r="K16" s="8" t="n">
        <v>288.6</v>
      </c>
      <c r="L16" s="8" t="n">
        <v>246.8</v>
      </c>
      <c r="M16" s="8" t="n">
        <v>177.7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2</v>
      </c>
      <c r="D17" s="10" t="n">
        <v>6</v>
      </c>
      <c r="E17" s="10" t="n">
        <v>0</v>
      </c>
      <c r="F17" s="10" t="n">
        <v>1</v>
      </c>
      <c r="G17" s="10" t="n">
        <v>7</v>
      </c>
      <c r="H17" s="10" t="n">
        <v>18</v>
      </c>
      <c r="I17" s="10" t="n">
        <v>14</v>
      </c>
      <c r="J17" s="10" t="n">
        <v>10</v>
      </c>
      <c r="K17" s="10" t="n">
        <v>14</v>
      </c>
      <c r="L17" s="10" t="n">
        <v>15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15</v>
      </c>
      <c r="C18" s="10" t="n">
        <v>15</v>
      </c>
      <c r="D18" s="10" t="n">
        <v>11</v>
      </c>
      <c r="E18" s="10" t="n">
        <v>11</v>
      </c>
      <c r="F18" s="10" t="n">
        <v>11</v>
      </c>
      <c r="G18" s="10" t="n">
        <v>4</v>
      </c>
      <c r="H18" s="10" t="n">
        <v>0</v>
      </c>
      <c r="I18" s="10" t="n">
        <v>1</v>
      </c>
      <c r="J18" s="10" t="n">
        <v>5</v>
      </c>
      <c r="K18" s="10" t="n">
        <v>6</v>
      </c>
      <c r="L18" s="10" t="n">
        <v>5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255</v>
      </c>
      <c r="C20" s="8" t="n">
        <v>216.7</v>
      </c>
      <c r="D20" s="8" t="n">
        <v>166.2</v>
      </c>
      <c r="E20" s="8" t="n">
        <v>270.8</v>
      </c>
      <c r="F20" s="8" t="n">
        <v>239.4</v>
      </c>
      <c r="G20" s="8" t="n">
        <v>119.8</v>
      </c>
      <c r="H20" s="8" t="n">
        <v>28.3</v>
      </c>
      <c r="I20" s="8" t="n">
        <v>88.3</v>
      </c>
      <c r="J20" s="8" t="n">
        <v>172.3</v>
      </c>
      <c r="K20" s="8" t="n">
        <v>120.4</v>
      </c>
      <c r="L20" s="8" t="n">
        <v>49.7</v>
      </c>
      <c r="M20" s="8" t="n">
        <v>179.7</v>
      </c>
      <c r="N20" s="9">
        <f>SUM(B20:M20)</f>
        <v/>
      </c>
    </row>
    <row r="21">
      <c r="A21" s="7" t="inlineStr">
        <is>
          <t>Max. dnevna suma</t>
        </is>
      </c>
      <c r="B21" s="8" t="n">
        <v>55.8</v>
      </c>
      <c r="C21" s="8" t="n">
        <v>39.6</v>
      </c>
      <c r="D21" s="8" t="n">
        <v>36.9</v>
      </c>
      <c r="E21" s="8" t="n">
        <v>42.2</v>
      </c>
      <c r="F21" s="8" t="n">
        <v>40.1</v>
      </c>
      <c r="G21" s="8" t="n">
        <v>30.3</v>
      </c>
      <c r="H21" s="8" t="n">
        <v>16.2</v>
      </c>
      <c r="I21" s="8" t="n">
        <v>79.3</v>
      </c>
      <c r="J21" s="8" t="n">
        <v>48.9</v>
      </c>
      <c r="K21" s="8" t="n">
        <v>38.3</v>
      </c>
      <c r="L21" s="8" t="n">
        <v>27</v>
      </c>
      <c r="M21" s="8" t="n">
        <v>18.6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22</v>
      </c>
      <c r="C22" s="10" t="n">
        <v>19</v>
      </c>
      <c r="D22" s="10" t="n">
        <v>15</v>
      </c>
      <c r="E22" s="10" t="n">
        <v>28</v>
      </c>
      <c r="F22" s="10" t="n">
        <v>24</v>
      </c>
      <c r="G22" s="10" t="n">
        <v>19</v>
      </c>
      <c r="H22" s="10" t="n">
        <v>7</v>
      </c>
      <c r="I22" s="10" t="n">
        <v>10</v>
      </c>
      <c r="J22" s="10" t="n">
        <v>11</v>
      </c>
      <c r="K22" s="10" t="n">
        <v>12</v>
      </c>
      <c r="L22" s="10" t="n">
        <v>5</v>
      </c>
      <c r="M22" s="10" t="n">
        <v>22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8</v>
      </c>
      <c r="C23" s="10" t="n">
        <v>7</v>
      </c>
      <c r="D23" s="10" t="n">
        <v>7</v>
      </c>
      <c r="E23" s="10" t="n">
        <v>9</v>
      </c>
      <c r="F23" s="10" t="n">
        <v>7</v>
      </c>
      <c r="G23" s="10" t="n">
        <v>4</v>
      </c>
      <c r="H23" s="10" t="n">
        <v>1</v>
      </c>
      <c r="I23" s="10" t="n">
        <v>1</v>
      </c>
      <c r="J23" s="10" t="n">
        <v>6</v>
      </c>
      <c r="K23" s="10" t="n">
        <v>5</v>
      </c>
      <c r="L23" s="10" t="n">
        <v>1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3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3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1979.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1.3</v>
      </c>
      <c r="C6" s="8" t="n">
        <v>5.9</v>
      </c>
      <c r="D6" s="8" t="n">
        <v>8.699999999999999</v>
      </c>
      <c r="E6" s="8" t="n">
        <v>9.800000000000001</v>
      </c>
      <c r="F6" s="8" t="n">
        <v>16.3</v>
      </c>
      <c r="G6" s="8" t="n">
        <v>21.4</v>
      </c>
      <c r="H6" s="8" t="n">
        <v>21.2</v>
      </c>
      <c r="I6" s="8" t="n">
        <v>20.5</v>
      </c>
      <c r="J6" s="8" t="n">
        <v>17.4</v>
      </c>
      <c r="K6" s="8" t="n">
        <v>13</v>
      </c>
      <c r="L6" s="8" t="n">
        <v>8.300000000000001</v>
      </c>
      <c r="M6" s="8" t="n">
        <v>6.1</v>
      </c>
      <c r="N6" s="9">
        <f>AVERAGE(B6:M6)</f>
        <v/>
      </c>
    </row>
    <row r="7">
      <c r="A7" s="7" t="inlineStr">
        <is>
          <t>Srednja maksimalna</t>
        </is>
      </c>
      <c r="B7" s="8" t="n">
        <v>6.3</v>
      </c>
      <c r="C7" s="8" t="n">
        <v>10.6</v>
      </c>
      <c r="D7" s="8" t="n">
        <v>13.9</v>
      </c>
      <c r="E7" s="8" t="n">
        <v>15</v>
      </c>
      <c r="F7" s="8" t="n">
        <v>21.6</v>
      </c>
      <c r="G7" s="8" t="n">
        <v>26.8</v>
      </c>
      <c r="H7" s="8" t="n">
        <v>26.9</v>
      </c>
      <c r="I7" s="8" t="n">
        <v>26.2</v>
      </c>
      <c r="J7" s="8" t="n">
        <v>23.5</v>
      </c>
      <c r="K7" s="8" t="n">
        <v>18.1</v>
      </c>
      <c r="L7" s="8" t="n">
        <v>12.5</v>
      </c>
      <c r="M7" s="8" t="n">
        <v>11</v>
      </c>
      <c r="N7" s="9">
        <f>AVERAGE(B7:M7)</f>
        <v/>
      </c>
    </row>
    <row r="8">
      <c r="A8" s="7" t="inlineStr">
        <is>
          <t>Srednja minimalna</t>
        </is>
      </c>
      <c r="B8" s="8" t="n">
        <v>-3</v>
      </c>
      <c r="C8" s="8" t="n">
        <v>1.5</v>
      </c>
      <c r="D8" s="8" t="n">
        <v>3.3</v>
      </c>
      <c r="E8" s="8" t="n">
        <v>3.8</v>
      </c>
      <c r="F8" s="8" t="n">
        <v>9.6</v>
      </c>
      <c r="G8" s="8" t="n">
        <v>14.4</v>
      </c>
      <c r="H8" s="8" t="n">
        <v>14.3</v>
      </c>
      <c r="I8" s="8" t="n">
        <v>14.1</v>
      </c>
      <c r="J8" s="8" t="n">
        <v>11</v>
      </c>
      <c r="K8" s="8" t="n">
        <v>7.9</v>
      </c>
      <c r="L8" s="8" t="n">
        <v>4.3</v>
      </c>
      <c r="M8" s="8" t="n">
        <v>1.9</v>
      </c>
      <c r="N8" s="9">
        <f>AVERAGE(B8:M8)</f>
        <v/>
      </c>
    </row>
    <row r="9">
      <c r="A9" s="7" t="inlineStr">
        <is>
          <t>Apsolutni maksimum</t>
        </is>
      </c>
      <c r="B9" s="8" t="n">
        <v>13.6</v>
      </c>
      <c r="C9" s="8" t="n">
        <v>16.4</v>
      </c>
      <c r="D9" s="8" t="n">
        <v>16.8</v>
      </c>
      <c r="E9" s="8" t="n">
        <v>19.9</v>
      </c>
      <c r="F9" s="8" t="n">
        <v>28.5</v>
      </c>
      <c r="G9" s="8" t="n">
        <v>30.2</v>
      </c>
      <c r="H9" s="8" t="n">
        <v>29.8</v>
      </c>
      <c r="I9" s="8" t="n">
        <v>34.1</v>
      </c>
      <c r="J9" s="8" t="n">
        <v>27.8</v>
      </c>
      <c r="K9" s="8" t="n">
        <v>23.8</v>
      </c>
      <c r="L9" s="8" t="n">
        <v>16.5</v>
      </c>
      <c r="M9" s="8" t="n">
        <v>15.2</v>
      </c>
      <c r="N9" s="9">
        <f>MAX(B9:M9)</f>
        <v/>
      </c>
    </row>
    <row r="10">
      <c r="A10" s="7" t="inlineStr">
        <is>
          <t>Apsolutni minimum</t>
        </is>
      </c>
      <c r="B10" s="8" t="n">
        <v>-16.6</v>
      </c>
      <c r="C10" s="8" t="n">
        <v>-7.4</v>
      </c>
      <c r="D10" s="8" t="n">
        <v>-13.3</v>
      </c>
      <c r="E10" s="8" t="n">
        <v>-1.9</v>
      </c>
      <c r="F10" s="8" t="n">
        <v>4.4</v>
      </c>
      <c r="G10" s="8" t="n">
        <v>10.5</v>
      </c>
      <c r="H10" s="8" t="n">
        <v>10.4</v>
      </c>
      <c r="I10" s="8" t="n">
        <v>9.1</v>
      </c>
      <c r="J10" s="8" t="n">
        <v>4.1</v>
      </c>
      <c r="K10" s="8" t="n">
        <v>0.6</v>
      </c>
      <c r="L10" s="8" t="n">
        <v>-2.7</v>
      </c>
      <c r="M10" s="8" t="n">
        <v>-3.8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13</v>
      </c>
      <c r="D11" s="10" t="n">
        <v>6</v>
      </c>
      <c r="E11" s="10" t="n">
        <v>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11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</v>
      </c>
      <c r="H12" s="10" t="n">
        <v>0</v>
      </c>
      <c r="I12" s="10" t="n">
        <v>6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78.09999999999999</v>
      </c>
      <c r="C14" s="8" t="n">
        <v>77</v>
      </c>
      <c r="D14" s="8" t="n">
        <v>80.90000000000001</v>
      </c>
      <c r="E14" s="8" t="n">
        <v>76.40000000000001</v>
      </c>
      <c r="F14" s="8" t="n">
        <v>70.7</v>
      </c>
      <c r="G14" s="8" t="n">
        <v>69.40000000000001</v>
      </c>
      <c r="H14" s="8" t="n">
        <v>65.5</v>
      </c>
      <c r="I14" s="8" t="n">
        <v>67.40000000000001</v>
      </c>
      <c r="J14" s="8" t="n">
        <v>73.90000000000001</v>
      </c>
      <c r="K14" s="8" t="n">
        <v>77.90000000000001</v>
      </c>
      <c r="L14" s="8" t="n">
        <v>81.3</v>
      </c>
      <c r="M14" s="8" t="n">
        <v>84.2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165.8</v>
      </c>
      <c r="C16" s="8" t="n">
        <v>178.3</v>
      </c>
      <c r="D16" s="8" t="n">
        <v>272.3</v>
      </c>
      <c r="E16" s="8" t="n">
        <v>329.2</v>
      </c>
      <c r="F16" s="8" t="n">
        <v>382.6</v>
      </c>
      <c r="G16" s="8" t="n">
        <v>391.2</v>
      </c>
      <c r="H16" s="8" t="n">
        <v>410.9</v>
      </c>
      <c r="I16" s="8" t="n">
        <v>378.9</v>
      </c>
      <c r="J16" s="8" t="n">
        <v>312.7</v>
      </c>
      <c r="K16" s="8" t="n">
        <v>257.7</v>
      </c>
      <c r="L16" s="8" t="n">
        <v>182.5</v>
      </c>
      <c r="M16" s="8" t="n">
        <v>184.5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5</v>
      </c>
      <c r="D17" s="10" t="n">
        <v>1</v>
      </c>
      <c r="E17" s="10" t="n">
        <v>4</v>
      </c>
      <c r="F17" s="10" t="n">
        <v>10</v>
      </c>
      <c r="G17" s="10" t="n">
        <v>6</v>
      </c>
      <c r="H17" s="10" t="n">
        <v>17</v>
      </c>
      <c r="I17" s="10" t="n">
        <v>15</v>
      </c>
      <c r="J17" s="10" t="n">
        <v>12</v>
      </c>
      <c r="K17" s="10" t="n">
        <v>9</v>
      </c>
      <c r="L17" s="10" t="n">
        <v>3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16</v>
      </c>
      <c r="D18" s="10" t="n">
        <v>13</v>
      </c>
      <c r="E18" s="10" t="n">
        <v>8</v>
      </c>
      <c r="F18" s="10" t="n">
        <v>5</v>
      </c>
      <c r="G18" s="10" t="n">
        <v>3</v>
      </c>
      <c r="H18" s="10" t="n">
        <v>2</v>
      </c>
      <c r="I18" s="10" t="n">
        <v>1</v>
      </c>
      <c r="J18" s="10" t="n">
        <v>1</v>
      </c>
      <c r="K18" s="10" t="n">
        <v>9</v>
      </c>
      <c r="L18" s="10" t="n">
        <v>14</v>
      </c>
      <c r="M18" s="10" t="n">
        <v>14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226.1</v>
      </c>
      <c r="C20" s="8" t="n">
        <v>180.6</v>
      </c>
      <c r="D20" s="8" t="n">
        <v>161</v>
      </c>
      <c r="E20" s="8" t="n">
        <v>181.5</v>
      </c>
      <c r="F20" s="8" t="n">
        <v>33.1</v>
      </c>
      <c r="G20" s="8" t="n">
        <v>69</v>
      </c>
      <c r="H20" s="8" t="n">
        <v>81</v>
      </c>
      <c r="I20" s="8" t="n">
        <v>145.3</v>
      </c>
      <c r="J20" s="8" t="n">
        <v>139.3</v>
      </c>
      <c r="K20" s="8" t="n">
        <v>164</v>
      </c>
      <c r="L20" s="8" t="n">
        <v>277</v>
      </c>
      <c r="M20" s="8" t="n">
        <v>181.9</v>
      </c>
      <c r="N20" s="9">
        <f>SUM(B20:M20)</f>
        <v/>
      </c>
    </row>
    <row r="21">
      <c r="A21" s="7" t="inlineStr">
        <is>
          <t>Max. dnevna suma</t>
        </is>
      </c>
      <c r="B21" s="8" t="n">
        <v>31.4</v>
      </c>
      <c r="C21" s="8" t="n">
        <v>27.8</v>
      </c>
      <c r="D21" s="8" t="n">
        <v>29</v>
      </c>
      <c r="E21" s="8" t="n">
        <v>50.8</v>
      </c>
      <c r="F21" s="8" t="n">
        <v>18</v>
      </c>
      <c r="G21" s="8" t="n">
        <v>22.7</v>
      </c>
      <c r="H21" s="8" t="n">
        <v>32.6</v>
      </c>
      <c r="I21" s="8" t="n">
        <v>54.9</v>
      </c>
      <c r="J21" s="8" t="n">
        <v>68.59999999999999</v>
      </c>
      <c r="K21" s="8" t="n">
        <v>43.2</v>
      </c>
      <c r="L21" s="8" t="n">
        <v>45.4</v>
      </c>
      <c r="M21" s="8" t="n">
        <v>32.6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17</v>
      </c>
      <c r="C22" s="10" t="n">
        <v>18</v>
      </c>
      <c r="D22" s="10" t="n">
        <v>25</v>
      </c>
      <c r="E22" s="10" t="n">
        <v>19</v>
      </c>
      <c r="F22" s="10" t="n">
        <v>11</v>
      </c>
      <c r="G22" s="10" t="n">
        <v>17</v>
      </c>
      <c r="H22" s="10" t="n">
        <v>11</v>
      </c>
      <c r="I22" s="10" t="n">
        <v>11</v>
      </c>
      <c r="J22" s="10" t="n">
        <v>7</v>
      </c>
      <c r="K22" s="10" t="n">
        <v>13</v>
      </c>
      <c r="L22" s="10" t="n">
        <v>18</v>
      </c>
      <c r="M22" s="10" t="n">
        <v>16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8</v>
      </c>
      <c r="C23" s="10" t="n">
        <v>9</v>
      </c>
      <c r="D23" s="10" t="n">
        <v>5</v>
      </c>
      <c r="E23" s="10" t="n">
        <v>6</v>
      </c>
      <c r="F23" s="10" t="n">
        <v>1</v>
      </c>
      <c r="G23" s="10" t="n">
        <v>2</v>
      </c>
      <c r="H23" s="10" t="n">
        <v>3</v>
      </c>
      <c r="I23" s="10" t="n">
        <v>4</v>
      </c>
      <c r="J23" s="10" t="n">
        <v>3</v>
      </c>
      <c r="K23" s="10" t="n">
        <v>5</v>
      </c>
      <c r="L23" s="10" t="n">
        <v>9</v>
      </c>
      <c r="M23" s="10" t="n">
        <v>10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4</v>
      </c>
      <c r="C25" s="10" t="n">
        <v>3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4</v>
      </c>
      <c r="C26" s="10" t="n">
        <v>3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1980.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0.9</v>
      </c>
      <c r="C6" s="8" t="n">
        <v>4.2</v>
      </c>
      <c r="D6" s="8" t="n">
        <v>7</v>
      </c>
      <c r="E6" s="8" t="n">
        <v>8.5</v>
      </c>
      <c r="F6" s="8" t="n">
        <v>13.3</v>
      </c>
      <c r="G6" s="8" t="n">
        <v>18.4</v>
      </c>
      <c r="H6" s="8" t="n">
        <v>21.1</v>
      </c>
      <c r="I6" s="8" t="n">
        <v>22.4</v>
      </c>
      <c r="J6" s="8" t="n">
        <v>18.4</v>
      </c>
      <c r="K6" s="8" t="n">
        <v>13.4</v>
      </c>
      <c r="L6" s="8" t="n">
        <v>9</v>
      </c>
      <c r="M6" s="8" t="n">
        <v>1.7</v>
      </c>
      <c r="N6" s="9">
        <f>AVERAGE(B6:M6)</f>
        <v/>
      </c>
    </row>
    <row r="7">
      <c r="A7" s="7" t="inlineStr">
        <is>
          <t>Srednja maksimalna</t>
        </is>
      </c>
      <c r="B7" s="8" t="n">
        <v>5.1</v>
      </c>
      <c r="C7" s="8" t="n">
        <v>10.4</v>
      </c>
      <c r="D7" s="8" t="n">
        <v>12.4</v>
      </c>
      <c r="E7" s="8" t="n">
        <v>13.9</v>
      </c>
      <c r="F7" s="8" t="n">
        <v>17.9</v>
      </c>
      <c r="G7" s="8" t="n">
        <v>23.2</v>
      </c>
      <c r="H7" s="8" t="n">
        <v>26.8</v>
      </c>
      <c r="I7" s="8" t="n">
        <v>28.7</v>
      </c>
      <c r="J7" s="8" t="n">
        <v>24.9</v>
      </c>
      <c r="K7" s="8" t="n">
        <v>18</v>
      </c>
      <c r="L7" s="8" t="n">
        <v>13.3</v>
      </c>
      <c r="M7" s="8" t="n">
        <v>7.3</v>
      </c>
      <c r="N7" s="9">
        <f>AVERAGE(B7:M7)</f>
        <v/>
      </c>
    </row>
    <row r="8">
      <c r="A8" s="7" t="inlineStr">
        <is>
          <t>Srednja minimalna</t>
        </is>
      </c>
      <c r="B8" s="8" t="n">
        <v>-3.6</v>
      </c>
      <c r="C8" s="8" t="n">
        <v>-1.3</v>
      </c>
      <c r="D8" s="8" t="n">
        <v>1.6</v>
      </c>
      <c r="E8" s="8" t="n">
        <v>1.9</v>
      </c>
      <c r="F8" s="8" t="n">
        <v>8</v>
      </c>
      <c r="G8" s="8" t="n">
        <v>12.5</v>
      </c>
      <c r="H8" s="8" t="n">
        <v>13.6</v>
      </c>
      <c r="I8" s="8" t="n">
        <v>15.1</v>
      </c>
      <c r="J8" s="8" t="n">
        <v>11.5</v>
      </c>
      <c r="K8" s="8" t="n">
        <v>9</v>
      </c>
      <c r="L8" s="8" t="n">
        <v>4.9</v>
      </c>
      <c r="M8" s="8" t="n">
        <v>-3</v>
      </c>
      <c r="N8" s="9">
        <f>AVERAGE(B8:M8)</f>
        <v/>
      </c>
    </row>
    <row r="9">
      <c r="A9" s="7" t="inlineStr">
        <is>
          <t>Apsolutni maksimum</t>
        </is>
      </c>
      <c r="B9" s="8" t="n">
        <v>11</v>
      </c>
      <c r="C9" s="8" t="n">
        <v>14.6</v>
      </c>
      <c r="D9" s="8" t="n">
        <v>17</v>
      </c>
      <c r="E9" s="8" t="n">
        <v>17</v>
      </c>
      <c r="F9" s="8" t="n">
        <v>21.6</v>
      </c>
      <c r="G9" s="8" t="n">
        <v>29.5</v>
      </c>
      <c r="H9" s="8" t="n">
        <v>31.6</v>
      </c>
      <c r="I9" s="8" t="n">
        <v>34.4</v>
      </c>
      <c r="J9" s="8" t="n">
        <v>27.5</v>
      </c>
      <c r="K9" s="8" t="n">
        <v>23.5</v>
      </c>
      <c r="L9" s="8" t="n">
        <v>17.9</v>
      </c>
      <c r="M9" s="8" t="n">
        <v>11.2</v>
      </c>
      <c r="N9" s="9">
        <f>MAX(B9:M9)</f>
        <v/>
      </c>
    </row>
    <row r="10">
      <c r="A10" s="7" t="inlineStr">
        <is>
          <t>Apsolutni minimum</t>
        </is>
      </c>
      <c r="B10" s="8" t="n">
        <v>-21.2</v>
      </c>
      <c r="C10" s="8" t="n">
        <v>-3.9</v>
      </c>
      <c r="D10" s="8" t="n">
        <v>-5.4</v>
      </c>
      <c r="E10" s="8" t="n">
        <v>-2.1</v>
      </c>
      <c r="F10" s="8" t="n">
        <v>4.6</v>
      </c>
      <c r="G10" s="8" t="n">
        <v>7.7</v>
      </c>
      <c r="H10" s="8" t="n">
        <v>9.300000000000001</v>
      </c>
      <c r="I10" s="8" t="n">
        <v>10.4</v>
      </c>
      <c r="J10" s="8" t="n">
        <v>6.7</v>
      </c>
      <c r="K10" s="8" t="n">
        <v>5</v>
      </c>
      <c r="L10" s="8" t="n">
        <v>-1.6</v>
      </c>
      <c r="M10" s="8" t="n">
        <v>-17.3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22</v>
      </c>
      <c r="D11" s="10" t="n">
        <v>11</v>
      </c>
      <c r="E11" s="10" t="n">
        <v>9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</v>
      </c>
      <c r="M11" s="10" t="n">
        <v>21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5</v>
      </c>
      <c r="I12" s="10" t="n">
        <v>12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79.8</v>
      </c>
      <c r="C14" s="8" t="n">
        <v>72.5</v>
      </c>
      <c r="D14" s="8" t="n">
        <v>76.09999999999999</v>
      </c>
      <c r="E14" s="8" t="n">
        <v>73.8</v>
      </c>
      <c r="F14" s="8" t="n">
        <v>80.3</v>
      </c>
      <c r="G14" s="8" t="n">
        <v>74.8</v>
      </c>
      <c r="H14" s="8" t="n">
        <v>66.7</v>
      </c>
      <c r="I14" s="8" t="n">
        <v>60.4</v>
      </c>
      <c r="J14" s="8" t="n">
        <v>69.2</v>
      </c>
      <c r="K14" s="8" t="n">
        <v>79.09999999999999</v>
      </c>
      <c r="L14" s="8" t="n">
        <v>84.40000000000001</v>
      </c>
      <c r="M14" s="8" t="n">
        <v>79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137.2</v>
      </c>
      <c r="C16" s="8" t="n">
        <v>251.1</v>
      </c>
      <c r="D16" s="8" t="n">
        <v>290.7</v>
      </c>
      <c r="E16" s="8" t="n">
        <v>334</v>
      </c>
      <c r="F16" s="8" t="n">
        <v>298.7</v>
      </c>
      <c r="G16" s="8" t="n">
        <v>383.1</v>
      </c>
      <c r="H16" s="8" t="n">
        <v>418.2</v>
      </c>
      <c r="I16" s="8" t="n">
        <v>387.8</v>
      </c>
      <c r="J16" s="8" t="n">
        <v>346</v>
      </c>
      <c r="K16" s="8" t="n">
        <v>247.4</v>
      </c>
      <c r="L16" s="8" t="n">
        <v>178.5</v>
      </c>
      <c r="M16" s="8" t="n">
        <v>191.7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14</v>
      </c>
      <c r="D17" s="10" t="n">
        <v>3</v>
      </c>
      <c r="E17" s="10" t="n">
        <v>5</v>
      </c>
      <c r="F17" s="10" t="n">
        <v>0</v>
      </c>
      <c r="G17" s="10" t="n">
        <v>6</v>
      </c>
      <c r="H17" s="10" t="n">
        <v>14</v>
      </c>
      <c r="I17" s="10" t="n">
        <v>19</v>
      </c>
      <c r="J17" s="10" t="n">
        <v>17</v>
      </c>
      <c r="K17" s="10" t="n">
        <v>6</v>
      </c>
      <c r="L17" s="10" t="n">
        <v>3</v>
      </c>
      <c r="M17" s="10" t="n">
        <v>7</v>
      </c>
      <c r="N17" s="11">
        <f>SUM(B17:M17)</f>
        <v/>
      </c>
    </row>
    <row r="18">
      <c r="A18" s="7" t="inlineStr">
        <is>
          <t>Broj oblačnih dana</t>
        </is>
      </c>
      <c r="B18" s="10" t="n">
        <v>19</v>
      </c>
      <c r="C18" s="10" t="n">
        <v>3</v>
      </c>
      <c r="D18" s="10" t="n">
        <v>13</v>
      </c>
      <c r="E18" s="10" t="n">
        <v>7</v>
      </c>
      <c r="F18" s="10" t="n">
        <v>15</v>
      </c>
      <c r="G18" s="10" t="n">
        <v>4</v>
      </c>
      <c r="H18" s="10" t="n">
        <v>0</v>
      </c>
      <c r="I18" s="10" t="n">
        <v>1</v>
      </c>
      <c r="J18" s="10" t="n">
        <v>0</v>
      </c>
      <c r="K18" s="10" t="n">
        <v>8</v>
      </c>
      <c r="L18" s="10" t="n">
        <v>11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130.8</v>
      </c>
      <c r="C20" s="8" t="n">
        <v>50.4</v>
      </c>
      <c r="D20" s="8" t="n">
        <v>192.2</v>
      </c>
      <c r="E20" s="8" t="n">
        <v>113</v>
      </c>
      <c r="F20" s="8" t="n">
        <v>269.9</v>
      </c>
      <c r="G20" s="8" t="n">
        <v>76.90000000000001</v>
      </c>
      <c r="H20" s="8" t="n">
        <v>44</v>
      </c>
      <c r="I20" s="8" t="n">
        <v>36.8</v>
      </c>
      <c r="J20" s="8" t="n">
        <v>38.9</v>
      </c>
      <c r="K20" s="8" t="n">
        <v>300.5</v>
      </c>
      <c r="L20" s="8" t="n">
        <v>267.9</v>
      </c>
      <c r="M20" s="8" t="n">
        <v>113.4</v>
      </c>
      <c r="N20" s="9">
        <f>SUM(B20:M20)</f>
        <v/>
      </c>
    </row>
    <row r="21">
      <c r="A21" s="7" t="inlineStr">
        <is>
          <t>Max. dnevna suma</t>
        </is>
      </c>
      <c r="B21" s="8" t="n">
        <v>22.1</v>
      </c>
      <c r="C21" s="8" t="n">
        <v>23.9</v>
      </c>
      <c r="D21" s="8" t="n">
        <v>30.6</v>
      </c>
      <c r="E21" s="8" t="n">
        <v>24.9</v>
      </c>
      <c r="F21" s="8" t="n">
        <v>41.9</v>
      </c>
      <c r="G21" s="8" t="n">
        <v>17.3</v>
      </c>
      <c r="H21" s="8" t="n">
        <v>18.9</v>
      </c>
      <c r="I21" s="8" t="n">
        <v>19.8</v>
      </c>
      <c r="J21" s="8" t="n">
        <v>22.4</v>
      </c>
      <c r="K21" s="8" t="n">
        <v>85.59999999999999</v>
      </c>
      <c r="L21" s="8" t="n">
        <v>51.9</v>
      </c>
      <c r="M21" s="8" t="n">
        <v>21.4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23</v>
      </c>
      <c r="C22" s="10" t="n">
        <v>7</v>
      </c>
      <c r="D22" s="10" t="n">
        <v>20</v>
      </c>
      <c r="E22" s="10" t="n">
        <v>16</v>
      </c>
      <c r="F22" s="10" t="n">
        <v>27</v>
      </c>
      <c r="G22" s="10" t="n">
        <v>16</v>
      </c>
      <c r="H22" s="10" t="n">
        <v>8</v>
      </c>
      <c r="I22" s="10" t="n">
        <v>8</v>
      </c>
      <c r="J22" s="10" t="n">
        <v>7</v>
      </c>
      <c r="K22" s="10" t="n">
        <v>20</v>
      </c>
      <c r="L22" s="10" t="n">
        <v>18</v>
      </c>
      <c r="M22" s="10" t="n">
        <v>16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3</v>
      </c>
      <c r="D23" s="10" t="n">
        <v>7</v>
      </c>
      <c r="E23" s="10" t="n">
        <v>4</v>
      </c>
      <c r="F23" s="10" t="n">
        <v>11</v>
      </c>
      <c r="G23" s="10" t="n">
        <v>4</v>
      </c>
      <c r="H23" s="10" t="n">
        <v>2</v>
      </c>
      <c r="I23" s="10" t="n">
        <v>1</v>
      </c>
      <c r="J23" s="10" t="n">
        <v>1</v>
      </c>
      <c r="K23" s="10" t="n">
        <v>10</v>
      </c>
      <c r="L23" s="10" t="n">
        <v>8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9</v>
      </c>
      <c r="C25" s="10" t="n">
        <v>0</v>
      </c>
      <c r="D25" s="10" t="n">
        <v>1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9</v>
      </c>
      <c r="C26" s="10" t="n">
        <v>0</v>
      </c>
      <c r="D26" s="10" t="n">
        <v>1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1981.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0.2</v>
      </c>
      <c r="C6" s="8" t="n">
        <v>3.5</v>
      </c>
      <c r="D6" s="8" t="n">
        <v>9.1</v>
      </c>
      <c r="E6" s="8" t="n">
        <v>11.5</v>
      </c>
      <c r="F6" s="8" t="n">
        <v>15</v>
      </c>
      <c r="G6" s="8" t="n">
        <v>20.3</v>
      </c>
      <c r="H6" s="8" t="n">
        <v>21.2</v>
      </c>
      <c r="I6" s="8" t="n">
        <v>21.9</v>
      </c>
      <c r="J6" s="8" t="n">
        <v>18.1</v>
      </c>
      <c r="K6" s="8" t="n">
        <v>14.2</v>
      </c>
      <c r="L6" s="8" t="n">
        <v>5.2</v>
      </c>
      <c r="M6" s="8" t="n">
        <v>4.6</v>
      </c>
      <c r="N6" s="9">
        <f>AVERAGE(B6:M6)</f>
        <v/>
      </c>
    </row>
    <row r="7">
      <c r="A7" s="7" t="inlineStr">
        <is>
          <t>Srednja maksimalna</t>
        </is>
      </c>
      <c r="B7" s="8" t="n">
        <v>4.9</v>
      </c>
      <c r="C7" s="8" t="n">
        <v>9</v>
      </c>
      <c r="D7" s="8" t="n">
        <v>14.5</v>
      </c>
      <c r="E7" s="8" t="n">
        <v>17.5</v>
      </c>
      <c r="F7" s="8" t="n">
        <v>20.2</v>
      </c>
      <c r="G7" s="8" t="n">
        <v>25.9</v>
      </c>
      <c r="H7" s="8" t="n">
        <v>26.7</v>
      </c>
      <c r="I7" s="8" t="n">
        <v>27.8</v>
      </c>
      <c r="J7" s="8" t="n">
        <v>24</v>
      </c>
      <c r="K7" s="8" t="n">
        <v>19.3</v>
      </c>
      <c r="L7" s="8" t="n">
        <v>11</v>
      </c>
      <c r="M7" s="8" t="n">
        <v>8.800000000000001</v>
      </c>
      <c r="N7" s="9">
        <f>AVERAGE(B7:M7)</f>
        <v/>
      </c>
    </row>
    <row r="8">
      <c r="A8" s="7" t="inlineStr">
        <is>
          <t>Srednja minimalna</t>
        </is>
      </c>
      <c r="B8" s="8" t="n">
        <v>-3.7</v>
      </c>
      <c r="C8" s="8" t="n">
        <v>-1.1</v>
      </c>
      <c r="D8" s="8" t="n">
        <v>3</v>
      </c>
      <c r="E8" s="8" t="n">
        <v>4.6</v>
      </c>
      <c r="F8" s="8" t="n">
        <v>8.5</v>
      </c>
      <c r="G8" s="8" t="n">
        <v>13.4</v>
      </c>
      <c r="H8" s="8" t="n">
        <v>14.3</v>
      </c>
      <c r="I8" s="8" t="n">
        <v>15</v>
      </c>
      <c r="J8" s="8" t="n">
        <v>12.3</v>
      </c>
      <c r="K8" s="8" t="n">
        <v>9.199999999999999</v>
      </c>
      <c r="L8" s="8" t="n">
        <v>0.3</v>
      </c>
      <c r="M8" s="8" t="n">
        <v>-0.3</v>
      </c>
      <c r="N8" s="9">
        <f>AVERAGE(B8:M8)</f>
        <v/>
      </c>
    </row>
    <row r="9">
      <c r="A9" s="7" t="inlineStr">
        <is>
          <t>Apsolutni maksimum</t>
        </is>
      </c>
      <c r="B9" s="8" t="n">
        <v>8.5</v>
      </c>
      <c r="C9" s="8" t="n">
        <v>14.2</v>
      </c>
      <c r="D9" s="8" t="n">
        <v>21.6</v>
      </c>
      <c r="E9" s="8" t="n">
        <v>22.9</v>
      </c>
      <c r="F9" s="8" t="n">
        <v>25.9</v>
      </c>
      <c r="G9" s="8" t="n">
        <v>31.3</v>
      </c>
      <c r="H9" s="8" t="n">
        <v>30</v>
      </c>
      <c r="I9" s="8" t="n">
        <v>36.8</v>
      </c>
      <c r="J9" s="8" t="n">
        <v>28</v>
      </c>
      <c r="K9" s="8" t="n">
        <v>26.6</v>
      </c>
      <c r="L9" s="8" t="n">
        <v>20.9</v>
      </c>
      <c r="M9" s="8" t="n">
        <v>13.5</v>
      </c>
      <c r="N9" s="9">
        <f>MAX(B9:M9)</f>
        <v/>
      </c>
    </row>
    <row r="10">
      <c r="A10" s="7" t="inlineStr">
        <is>
          <t>Apsolutni minimum</t>
        </is>
      </c>
      <c r="B10" s="8" t="n">
        <v>-8.1</v>
      </c>
      <c r="C10" s="8" t="n">
        <v>-4.7</v>
      </c>
      <c r="D10" s="8" t="n">
        <v>-3.1</v>
      </c>
      <c r="E10" s="8" t="n">
        <v>-2.1</v>
      </c>
      <c r="F10" s="8" t="n">
        <v>1.9</v>
      </c>
      <c r="G10" s="8" t="n">
        <v>9.800000000000001</v>
      </c>
      <c r="H10" s="8" t="n">
        <v>10.7</v>
      </c>
      <c r="I10" s="8" t="n">
        <v>8.6</v>
      </c>
      <c r="J10" s="8" t="n">
        <v>7.7</v>
      </c>
      <c r="K10" s="8" t="n">
        <v>2</v>
      </c>
      <c r="L10" s="8" t="n">
        <v>-5.2</v>
      </c>
      <c r="M10" s="8" t="n">
        <v>-7.9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19</v>
      </c>
      <c r="D11" s="10" t="n">
        <v>6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18</v>
      </c>
      <c r="M11" s="10" t="n">
        <v>20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</v>
      </c>
      <c r="H12" s="10" t="n">
        <v>1</v>
      </c>
      <c r="I12" s="10" t="n">
        <v>10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65.2</v>
      </c>
      <c r="C14" s="8" t="n">
        <v>74.5</v>
      </c>
      <c r="D14" s="8" t="n">
        <v>81.5</v>
      </c>
      <c r="E14" s="8" t="n">
        <v>71.5</v>
      </c>
      <c r="F14" s="8" t="n">
        <v>76.7</v>
      </c>
      <c r="G14" s="8" t="n">
        <v>71.59999999999999</v>
      </c>
      <c r="H14" s="8" t="n">
        <v>62.9</v>
      </c>
      <c r="I14" s="8" t="n">
        <v>67.2</v>
      </c>
      <c r="J14" s="8" t="n">
        <v>76.3</v>
      </c>
      <c r="K14" s="8" t="n">
        <v>81.59999999999999</v>
      </c>
      <c r="L14" s="8" t="n">
        <v>73.40000000000001</v>
      </c>
      <c r="M14" s="8" t="n">
        <v>82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231.9</v>
      </c>
      <c r="C16" s="8" t="n">
        <v>222.2</v>
      </c>
      <c r="D16" s="8" t="n">
        <v>270.5</v>
      </c>
      <c r="E16" s="8" t="n">
        <v>330.6</v>
      </c>
      <c r="F16" s="8" t="n">
        <v>387.9</v>
      </c>
      <c r="G16" s="8" t="n">
        <v>398.4</v>
      </c>
      <c r="H16" s="8" t="n">
        <v>419</v>
      </c>
      <c r="I16" s="8" t="n">
        <v>383.9</v>
      </c>
      <c r="J16" s="8" t="n">
        <v>312.5</v>
      </c>
      <c r="K16" s="8" t="n">
        <v>262.5</v>
      </c>
      <c r="L16" s="8" t="n">
        <v>238.6</v>
      </c>
      <c r="M16" s="8" t="n">
        <v>137.3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9</v>
      </c>
      <c r="D17" s="10" t="n">
        <v>2</v>
      </c>
      <c r="E17" s="10" t="n">
        <v>7</v>
      </c>
      <c r="F17" s="10" t="n">
        <v>3</v>
      </c>
      <c r="G17" s="10" t="n">
        <v>12</v>
      </c>
      <c r="H17" s="10" t="n">
        <v>14</v>
      </c>
      <c r="I17" s="10" t="n">
        <v>17</v>
      </c>
      <c r="J17" s="10" t="n">
        <v>8</v>
      </c>
      <c r="K17" s="10" t="n">
        <v>7</v>
      </c>
      <c r="L17" s="10" t="n">
        <v>14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8</v>
      </c>
      <c r="C18" s="10" t="n">
        <v>9</v>
      </c>
      <c r="D18" s="10" t="n">
        <v>13</v>
      </c>
      <c r="E18" s="10" t="n">
        <v>3</v>
      </c>
      <c r="F18" s="10" t="n">
        <v>4</v>
      </c>
      <c r="G18" s="10" t="n">
        <v>2</v>
      </c>
      <c r="H18" s="10" t="n">
        <v>0</v>
      </c>
      <c r="I18" s="10" t="n">
        <v>0</v>
      </c>
      <c r="J18" s="10" t="n">
        <v>4</v>
      </c>
      <c r="K18" s="10" t="n">
        <v>5</v>
      </c>
      <c r="L18" s="10" t="n">
        <v>5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114.3</v>
      </c>
      <c r="C20" s="8" t="n">
        <v>108.3</v>
      </c>
      <c r="D20" s="8" t="n">
        <v>144.4</v>
      </c>
      <c r="E20" s="8" t="n">
        <v>122.4</v>
      </c>
      <c r="F20" s="8" t="n">
        <v>117</v>
      </c>
      <c r="G20" s="8" t="n">
        <v>92.5</v>
      </c>
      <c r="H20" s="8" t="n">
        <v>46.3</v>
      </c>
      <c r="I20" s="8" t="n">
        <v>70.40000000000001</v>
      </c>
      <c r="J20" s="8" t="n">
        <v>96.5</v>
      </c>
      <c r="K20" s="8" t="n">
        <v>215.6</v>
      </c>
      <c r="L20" s="8" t="n">
        <v>42.3</v>
      </c>
      <c r="M20" s="8" t="n">
        <v>350.9</v>
      </c>
      <c r="N20" s="9">
        <f>SUM(B20:M20)</f>
        <v/>
      </c>
    </row>
    <row r="21">
      <c r="A21" s="7" t="inlineStr">
        <is>
          <t>Max. dnevna suma</t>
        </is>
      </c>
      <c r="B21" s="8" t="n">
        <v>34.5</v>
      </c>
      <c r="C21" s="8" t="n">
        <v>23.4</v>
      </c>
      <c r="D21" s="8" t="n">
        <v>35.1</v>
      </c>
      <c r="E21" s="8" t="n">
        <v>39.3</v>
      </c>
      <c r="F21" s="8" t="n">
        <v>27.1</v>
      </c>
      <c r="G21" s="8" t="n">
        <v>22.9</v>
      </c>
      <c r="H21" s="8" t="n">
        <v>11.4</v>
      </c>
      <c r="I21" s="8" t="n">
        <v>37.6</v>
      </c>
      <c r="J21" s="8" t="n">
        <v>24.7</v>
      </c>
      <c r="K21" s="8" t="n">
        <v>55.8</v>
      </c>
      <c r="L21" s="8" t="n">
        <v>15.1</v>
      </c>
      <c r="M21" s="8" t="n">
        <v>40.9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10</v>
      </c>
      <c r="C22" s="10" t="n">
        <v>14</v>
      </c>
      <c r="D22" s="10" t="n">
        <v>16</v>
      </c>
      <c r="E22" s="10" t="n">
        <v>12</v>
      </c>
      <c r="F22" s="10" t="n">
        <v>15</v>
      </c>
      <c r="G22" s="10" t="n">
        <v>13</v>
      </c>
      <c r="H22" s="10" t="n">
        <v>13</v>
      </c>
      <c r="I22" s="10" t="n">
        <v>13</v>
      </c>
      <c r="J22" s="10" t="n">
        <v>14</v>
      </c>
      <c r="K22" s="10" t="n">
        <v>17</v>
      </c>
      <c r="L22" s="10" t="n">
        <v>7</v>
      </c>
      <c r="M22" s="10" t="n">
        <v>22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4</v>
      </c>
      <c r="D23" s="10" t="n">
        <v>6</v>
      </c>
      <c r="E23" s="10" t="n">
        <v>5</v>
      </c>
      <c r="F23" s="10" t="n">
        <v>5</v>
      </c>
      <c r="G23" s="10" t="n">
        <v>4</v>
      </c>
      <c r="H23" s="10" t="n">
        <v>1</v>
      </c>
      <c r="I23" s="10" t="n">
        <v>1</v>
      </c>
      <c r="J23" s="10" t="n">
        <v>3</v>
      </c>
      <c r="K23" s="10" t="n">
        <v>9</v>
      </c>
      <c r="L23" s="10" t="n">
        <v>1</v>
      </c>
      <c r="M23" s="10" t="n">
        <v>13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2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2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1982.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3.1</v>
      </c>
      <c r="C6" s="8" t="n">
        <v>2.8</v>
      </c>
      <c r="D6" s="8" t="n">
        <v>6.5</v>
      </c>
      <c r="E6" s="8" t="n">
        <v>10.5</v>
      </c>
      <c r="F6" s="8" t="n">
        <v>16.7</v>
      </c>
      <c r="G6" s="8" t="n">
        <v>21.7</v>
      </c>
      <c r="H6" s="8" t="n">
        <v>23.2</v>
      </c>
      <c r="I6" s="8" t="n">
        <v>23.1</v>
      </c>
      <c r="J6" s="8" t="n">
        <v>21.2</v>
      </c>
      <c r="K6" s="8" t="n">
        <v>13.8</v>
      </c>
      <c r="L6" s="8" t="n">
        <v>8.199999999999999</v>
      </c>
      <c r="M6" s="8" t="n">
        <v>6.1</v>
      </c>
      <c r="N6" s="9">
        <f>AVERAGE(B6:M6)</f>
        <v/>
      </c>
    </row>
    <row r="7">
      <c r="A7" s="7" t="inlineStr">
        <is>
          <t>Srednja maksimalna</t>
        </is>
      </c>
      <c r="B7" s="8" t="n">
        <v>8.9</v>
      </c>
      <c r="C7" s="8" t="n">
        <v>8.699999999999999</v>
      </c>
      <c r="D7" s="8" t="n">
        <v>12.4</v>
      </c>
      <c r="E7" s="8" t="n">
        <v>16.2</v>
      </c>
      <c r="F7" s="8" t="n">
        <v>22.5</v>
      </c>
      <c r="G7" s="8" t="n">
        <v>27.4</v>
      </c>
      <c r="H7" s="8" t="n">
        <v>29</v>
      </c>
      <c r="I7" s="8" t="n">
        <v>29.2</v>
      </c>
      <c r="J7" s="8" t="n">
        <v>27.5</v>
      </c>
      <c r="K7" s="8" t="n">
        <v>18.8</v>
      </c>
      <c r="L7" s="8" t="n">
        <v>14.2</v>
      </c>
      <c r="M7" s="8" t="n">
        <v>10</v>
      </c>
      <c r="N7" s="9">
        <f>AVERAGE(B7:M7)</f>
        <v/>
      </c>
    </row>
    <row r="8">
      <c r="A8" s="7" t="inlineStr">
        <is>
          <t>Srednja minimalna</t>
        </is>
      </c>
      <c r="B8" s="8" t="n">
        <v>-1.5</v>
      </c>
      <c r="C8" s="8" t="n">
        <v>-2.1</v>
      </c>
      <c r="D8" s="8" t="n">
        <v>0.4</v>
      </c>
      <c r="E8" s="8" t="n">
        <v>4.4</v>
      </c>
      <c r="F8" s="8" t="n">
        <v>9.4</v>
      </c>
      <c r="G8" s="8" t="n">
        <v>14.5</v>
      </c>
      <c r="H8" s="8" t="n">
        <v>15.9</v>
      </c>
      <c r="I8" s="8" t="n">
        <v>16.1</v>
      </c>
      <c r="J8" s="8" t="n">
        <v>14.6</v>
      </c>
      <c r="K8" s="8" t="n">
        <v>9</v>
      </c>
      <c r="L8" s="8" t="n">
        <v>3.3</v>
      </c>
      <c r="M8" s="8" t="n">
        <v>2.2</v>
      </c>
      <c r="N8" s="9">
        <f>AVERAGE(B8:M8)</f>
        <v/>
      </c>
    </row>
    <row r="9">
      <c r="A9" s="7" t="inlineStr">
        <is>
          <t>Apsolutni maksimum</t>
        </is>
      </c>
      <c r="B9" s="8" t="n">
        <v>13.4</v>
      </c>
      <c r="C9" s="8" t="n">
        <v>14</v>
      </c>
      <c r="D9" s="8" t="n">
        <v>16.1</v>
      </c>
      <c r="E9" s="8" t="n">
        <v>19.3</v>
      </c>
      <c r="F9" s="8" t="n">
        <v>28.4</v>
      </c>
      <c r="G9" s="8" t="n">
        <v>33.6</v>
      </c>
      <c r="H9" s="8" t="n">
        <v>33</v>
      </c>
      <c r="I9" s="8" t="n">
        <v>34</v>
      </c>
      <c r="J9" s="8" t="n">
        <v>31.9</v>
      </c>
      <c r="K9" s="8" t="n">
        <v>22.2</v>
      </c>
      <c r="L9" s="8" t="n">
        <v>19.6</v>
      </c>
      <c r="M9" s="8" t="n">
        <v>15.3</v>
      </c>
      <c r="N9" s="9">
        <f>MAX(B9:M9)</f>
        <v/>
      </c>
    </row>
    <row r="10">
      <c r="A10" s="7" t="inlineStr">
        <is>
          <t>Apsolutni minimum</t>
        </is>
      </c>
      <c r="B10" s="8" t="n">
        <v>-5.9</v>
      </c>
      <c r="C10" s="8" t="n">
        <v>-4.8</v>
      </c>
      <c r="D10" s="8" t="n">
        <v>-3.8</v>
      </c>
      <c r="E10" s="8" t="n">
        <v>-1.1</v>
      </c>
      <c r="F10" s="8" t="n">
        <v>2.8</v>
      </c>
      <c r="G10" s="8" t="n">
        <v>9.1</v>
      </c>
      <c r="H10" s="8" t="n">
        <v>12.3</v>
      </c>
      <c r="I10" s="8" t="n">
        <v>11.4</v>
      </c>
      <c r="J10" s="8" t="n">
        <v>12.4</v>
      </c>
      <c r="K10" s="8" t="n">
        <v>3.7</v>
      </c>
      <c r="L10" s="8" t="n">
        <v>-3.1</v>
      </c>
      <c r="M10" s="8" t="n">
        <v>-3.4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23</v>
      </c>
      <c r="D11" s="10" t="n">
        <v>16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7</v>
      </c>
      <c r="M11" s="10" t="n">
        <v>11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5</v>
      </c>
      <c r="H12" s="10" t="n">
        <v>14</v>
      </c>
      <c r="I12" s="10" t="n">
        <v>14</v>
      </c>
      <c r="J12" s="10" t="n">
        <v>5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74.2</v>
      </c>
      <c r="C14" s="8" t="n">
        <v>71.40000000000001</v>
      </c>
      <c r="D14" s="8" t="n">
        <v>72.09999999999999</v>
      </c>
      <c r="E14" s="8" t="n">
        <v>70.2</v>
      </c>
      <c r="F14" s="8" t="n">
        <v>63.9</v>
      </c>
      <c r="G14" s="8" t="n">
        <v>66</v>
      </c>
      <c r="H14" s="8" t="n">
        <v>61.3</v>
      </c>
      <c r="I14" s="8" t="n">
        <v>62.1</v>
      </c>
      <c r="J14" s="8" t="n">
        <v>70.59999999999999</v>
      </c>
      <c r="K14" s="8" t="n">
        <v>82.2</v>
      </c>
      <c r="L14" s="8" t="n">
        <v>78.7</v>
      </c>
      <c r="M14" s="8" t="n">
        <v>83.59999999999999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211.6</v>
      </c>
      <c r="C16" s="8" t="n">
        <v>228.2</v>
      </c>
      <c r="D16" s="8" t="n">
        <v>295.1</v>
      </c>
      <c r="E16" s="8" t="n">
        <v>332.5</v>
      </c>
      <c r="F16" s="8" t="n">
        <v>382.5</v>
      </c>
      <c r="G16" s="8" t="n">
        <v>404.3</v>
      </c>
      <c r="H16" s="8" t="n">
        <v>417.4</v>
      </c>
      <c r="I16" s="8" t="n">
        <v>394.3</v>
      </c>
      <c r="J16" s="8" t="n">
        <v>326.4</v>
      </c>
      <c r="K16" s="8" t="n">
        <v>239.7</v>
      </c>
      <c r="L16" s="8" t="n">
        <v>223.5</v>
      </c>
      <c r="M16" s="8" t="n">
        <v>169.5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11</v>
      </c>
      <c r="D17" s="10" t="n">
        <v>6</v>
      </c>
      <c r="E17" s="10" t="n">
        <v>3</v>
      </c>
      <c r="F17" s="10" t="n">
        <v>6</v>
      </c>
      <c r="G17" s="10" t="n">
        <v>11</v>
      </c>
      <c r="H17" s="10" t="n">
        <v>16</v>
      </c>
      <c r="I17" s="10" t="n">
        <v>18</v>
      </c>
      <c r="J17" s="10" t="n">
        <v>13</v>
      </c>
      <c r="K17" s="10" t="n">
        <v>4</v>
      </c>
      <c r="L17" s="10" t="n">
        <v>7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9</v>
      </c>
      <c r="D18" s="10" t="n">
        <v>8</v>
      </c>
      <c r="E18" s="10" t="n">
        <v>5</v>
      </c>
      <c r="F18" s="10" t="n">
        <v>4</v>
      </c>
      <c r="G18" s="10" t="n">
        <v>1</v>
      </c>
      <c r="H18" s="10" t="n">
        <v>1</v>
      </c>
      <c r="I18" s="10" t="n">
        <v>1</v>
      </c>
      <c r="J18" s="10" t="n">
        <v>4</v>
      </c>
      <c r="K18" s="10" t="n">
        <v>8</v>
      </c>
      <c r="L18" s="10" t="n">
        <v>7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36.3</v>
      </c>
      <c r="C20" s="8" t="n">
        <v>33.8</v>
      </c>
      <c r="D20" s="8" t="n">
        <v>162.2</v>
      </c>
      <c r="E20" s="8" t="n">
        <v>71.3</v>
      </c>
      <c r="F20" s="8" t="n">
        <v>27.4</v>
      </c>
      <c r="G20" s="8" t="n">
        <v>71.90000000000001</v>
      </c>
      <c r="H20" s="8" t="n">
        <v>41.5</v>
      </c>
      <c r="I20" s="8" t="n">
        <v>73.2</v>
      </c>
      <c r="J20" s="8" t="n">
        <v>49.2</v>
      </c>
      <c r="K20" s="8" t="n">
        <v>225.4</v>
      </c>
      <c r="L20" s="8" t="n">
        <v>76</v>
      </c>
      <c r="M20" s="8" t="n">
        <v>224.9</v>
      </c>
      <c r="N20" s="9">
        <f>SUM(B20:M20)</f>
        <v/>
      </c>
    </row>
    <row r="21">
      <c r="A21" s="7" t="inlineStr">
        <is>
          <t>Max. dnevna suma</t>
        </is>
      </c>
      <c r="B21" s="8" t="n">
        <v>10.5</v>
      </c>
      <c r="C21" s="8" t="n">
        <v>9.300000000000001</v>
      </c>
      <c r="D21" s="8" t="n">
        <v>40</v>
      </c>
      <c r="E21" s="8" t="n">
        <v>19.3</v>
      </c>
      <c r="F21" s="8" t="n">
        <v>16.3</v>
      </c>
      <c r="G21" s="8" t="n">
        <v>31.3</v>
      </c>
      <c r="H21" s="8" t="n">
        <v>17.7</v>
      </c>
      <c r="I21" s="8" t="n">
        <v>45.9</v>
      </c>
      <c r="J21" s="8" t="n">
        <v>16</v>
      </c>
      <c r="K21" s="8" t="n">
        <v>38.7</v>
      </c>
      <c r="L21" s="8" t="n">
        <v>32.4</v>
      </c>
      <c r="M21" s="8" t="n">
        <v>42.3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11</v>
      </c>
      <c r="C22" s="10" t="n">
        <v>7</v>
      </c>
      <c r="D22" s="10" t="n">
        <v>16</v>
      </c>
      <c r="E22" s="10" t="n">
        <v>20</v>
      </c>
      <c r="F22" s="10" t="n">
        <v>13</v>
      </c>
      <c r="G22" s="10" t="n">
        <v>13</v>
      </c>
      <c r="H22" s="10" t="n">
        <v>12</v>
      </c>
      <c r="I22" s="10" t="n">
        <v>11</v>
      </c>
      <c r="J22" s="10" t="n">
        <v>10</v>
      </c>
      <c r="K22" s="10" t="n">
        <v>19</v>
      </c>
      <c r="L22" s="10" t="n">
        <v>9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0</v>
      </c>
      <c r="D23" s="10" t="n">
        <v>5</v>
      </c>
      <c r="E23" s="10" t="n">
        <v>1</v>
      </c>
      <c r="F23" s="10" t="n">
        <v>1</v>
      </c>
      <c r="G23" s="10" t="n">
        <v>2</v>
      </c>
      <c r="H23" s="10" t="n">
        <v>1</v>
      </c>
      <c r="I23" s="10" t="n">
        <v>1</v>
      </c>
      <c r="J23" s="10" t="n">
        <v>2</v>
      </c>
      <c r="K23" s="10" t="n">
        <v>9</v>
      </c>
      <c r="L23" s="10" t="n">
        <v>2</v>
      </c>
      <c r="M23" s="10" t="n">
        <v>9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2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2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1983.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3.5</v>
      </c>
      <c r="C6" s="8" t="n">
        <v>2.6</v>
      </c>
      <c r="D6" s="8" t="n">
        <v>7.9</v>
      </c>
      <c r="E6" s="8" t="n">
        <v>11.9</v>
      </c>
      <c r="F6" s="8" t="n">
        <v>16.8</v>
      </c>
      <c r="G6" s="8" t="n">
        <v>18.9</v>
      </c>
      <c r="H6" s="8" t="n">
        <v>24.1</v>
      </c>
      <c r="I6" s="8" t="n">
        <v>22.3</v>
      </c>
      <c r="J6" s="8" t="n">
        <v>18.3</v>
      </c>
      <c r="K6" s="8" t="n">
        <v>12.5</v>
      </c>
      <c r="L6" s="8" t="n">
        <v>5.7</v>
      </c>
      <c r="M6" s="8" t="n">
        <v>3.7</v>
      </c>
      <c r="N6" s="9">
        <f>AVERAGE(B6:M6)</f>
        <v/>
      </c>
    </row>
    <row r="7">
      <c r="A7" s="7" t="inlineStr">
        <is>
          <t>Srednja maksimalna</t>
        </is>
      </c>
      <c r="B7" s="8" t="n">
        <v>9.699999999999999</v>
      </c>
      <c r="C7" s="8" t="n">
        <v>7.2</v>
      </c>
      <c r="D7" s="8" t="n">
        <v>13.9</v>
      </c>
      <c r="E7" s="8" t="n">
        <v>17.5</v>
      </c>
      <c r="F7" s="8" t="n">
        <v>22.2</v>
      </c>
      <c r="G7" s="8" t="n">
        <v>24.1</v>
      </c>
      <c r="H7" s="8" t="n">
        <v>30.5</v>
      </c>
      <c r="I7" s="8" t="n">
        <v>28.4</v>
      </c>
      <c r="J7" s="8" t="n">
        <v>24.4</v>
      </c>
      <c r="K7" s="8" t="n">
        <v>18.8</v>
      </c>
      <c r="L7" s="8" t="n">
        <v>12.2</v>
      </c>
      <c r="M7" s="8" t="n">
        <v>8.300000000000001</v>
      </c>
      <c r="N7" s="9">
        <f>AVERAGE(B7:M7)</f>
        <v/>
      </c>
    </row>
    <row r="8">
      <c r="A8" s="7" t="inlineStr">
        <is>
          <t>Srednja minimalna</t>
        </is>
      </c>
      <c r="B8" s="8" t="n">
        <v>-1.4</v>
      </c>
      <c r="C8" s="8" t="n">
        <v>-1.7</v>
      </c>
      <c r="D8" s="8" t="n">
        <v>1.6</v>
      </c>
      <c r="E8" s="8" t="n">
        <v>5.4</v>
      </c>
      <c r="F8" s="8" t="n">
        <v>10</v>
      </c>
      <c r="G8" s="8" t="n">
        <v>12.3</v>
      </c>
      <c r="H8" s="8" t="n">
        <v>16.3</v>
      </c>
      <c r="I8" s="8" t="n">
        <v>15.4</v>
      </c>
      <c r="J8" s="8" t="n">
        <v>12.1</v>
      </c>
      <c r="K8" s="8" t="n">
        <v>6.5</v>
      </c>
      <c r="L8" s="8" t="n">
        <v>0.3</v>
      </c>
      <c r="M8" s="8" t="n">
        <v>-0.1</v>
      </c>
      <c r="N8" s="9">
        <f>AVERAGE(B8:M8)</f>
        <v/>
      </c>
    </row>
    <row r="9">
      <c r="A9" s="7" t="inlineStr">
        <is>
          <t>Apsolutni maksimum</t>
        </is>
      </c>
      <c r="B9" s="8" t="n">
        <v>14.1</v>
      </c>
      <c r="C9" s="8" t="n">
        <v>13</v>
      </c>
      <c r="D9" s="8" t="n">
        <v>22.2</v>
      </c>
      <c r="E9" s="8" t="n">
        <v>23.3</v>
      </c>
      <c r="F9" s="8" t="n">
        <v>27.6</v>
      </c>
      <c r="G9" s="8" t="n">
        <v>29.7</v>
      </c>
      <c r="H9" s="8" t="n">
        <v>35.2</v>
      </c>
      <c r="I9" s="8" t="n">
        <v>32</v>
      </c>
      <c r="J9" s="8" t="n">
        <v>27.5</v>
      </c>
      <c r="K9" s="8" t="n">
        <v>24.8</v>
      </c>
      <c r="L9" s="8" t="n">
        <v>19.3</v>
      </c>
      <c r="M9" s="8" t="n">
        <v>16.4</v>
      </c>
      <c r="N9" s="9">
        <f>MAX(B9:M9)</f>
        <v/>
      </c>
    </row>
    <row r="10">
      <c r="A10" s="7" t="inlineStr">
        <is>
          <t>Apsolutni minimum</t>
        </is>
      </c>
      <c r="B10" s="8" t="n">
        <v>-4.4</v>
      </c>
      <c r="C10" s="8" t="n">
        <v>-7.4</v>
      </c>
      <c r="D10" s="8" t="n">
        <v>-4.1</v>
      </c>
      <c r="E10" s="8" t="n">
        <v>-0.7</v>
      </c>
      <c r="F10" s="8" t="n">
        <v>5.7</v>
      </c>
      <c r="G10" s="8" t="n">
        <v>7.6</v>
      </c>
      <c r="H10" s="8" t="n">
        <v>13.6</v>
      </c>
      <c r="I10" s="8" t="n">
        <v>11.9</v>
      </c>
      <c r="J10" s="8" t="n">
        <v>8.4</v>
      </c>
      <c r="K10" s="8" t="n">
        <v>0</v>
      </c>
      <c r="L10" s="8" t="n">
        <v>-7.6</v>
      </c>
      <c r="M10" s="8" t="n">
        <v>-5.8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20</v>
      </c>
      <c r="D11" s="10" t="n">
        <v>12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15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18</v>
      </c>
      <c r="I12" s="10" t="n">
        <v>9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79.7</v>
      </c>
      <c r="C14" s="8" t="n">
        <v>69.40000000000001</v>
      </c>
      <c r="D14" s="8" t="n">
        <v>73</v>
      </c>
      <c r="E14" s="8" t="n">
        <v>73.90000000000001</v>
      </c>
      <c r="F14" s="8" t="n">
        <v>71.3</v>
      </c>
      <c r="G14" s="8" t="n">
        <v>70.5</v>
      </c>
      <c r="H14" s="8" t="n">
        <v>61</v>
      </c>
      <c r="I14" s="8" t="n">
        <v>61</v>
      </c>
      <c r="J14" s="8" t="n">
        <v>66.59999999999999</v>
      </c>
      <c r="K14" s="8" t="n">
        <v>71.09999999999999</v>
      </c>
      <c r="L14" s="8" t="n">
        <v>76.09999999999999</v>
      </c>
      <c r="M14" s="8" t="n">
        <v>78.5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221.7</v>
      </c>
      <c r="C16" s="8" t="n">
        <v>206</v>
      </c>
      <c r="D16" s="8" t="n">
        <v>287.1</v>
      </c>
      <c r="E16" s="8" t="n">
        <v>353.2</v>
      </c>
      <c r="F16" s="8" t="n">
        <v>375.9</v>
      </c>
      <c r="G16" s="8" t="n">
        <v>368.1</v>
      </c>
      <c r="H16" s="8" t="n">
        <v>423</v>
      </c>
      <c r="I16" s="8" t="n">
        <v>383.6</v>
      </c>
      <c r="J16" s="8" t="n">
        <v>330.1</v>
      </c>
      <c r="K16" s="8" t="n">
        <v>286.9</v>
      </c>
      <c r="L16" s="8" t="n">
        <v>231.3</v>
      </c>
      <c r="M16" s="8" t="n">
        <v>168.6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10</v>
      </c>
      <c r="D17" s="10" t="n">
        <v>7</v>
      </c>
      <c r="E17" s="10" t="n">
        <v>2</v>
      </c>
      <c r="F17" s="10" t="n">
        <v>10</v>
      </c>
      <c r="G17" s="10" t="n">
        <v>8</v>
      </c>
      <c r="H17" s="10" t="n">
        <v>19</v>
      </c>
      <c r="I17" s="10" t="n">
        <v>14</v>
      </c>
      <c r="J17" s="10" t="n">
        <v>14</v>
      </c>
      <c r="K17" s="10" t="n">
        <v>14</v>
      </c>
      <c r="L17" s="10" t="n">
        <v>12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6</v>
      </c>
      <c r="C18" s="10" t="n">
        <v>10</v>
      </c>
      <c r="D18" s="10" t="n">
        <v>8</v>
      </c>
      <c r="E18" s="10" t="n">
        <v>5</v>
      </c>
      <c r="F18" s="10" t="n">
        <v>5</v>
      </c>
      <c r="G18" s="10" t="n">
        <v>6</v>
      </c>
      <c r="H18" s="10" t="n">
        <v>0</v>
      </c>
      <c r="I18" s="10" t="n">
        <v>5</v>
      </c>
      <c r="J18" s="10" t="n">
        <v>2</v>
      </c>
      <c r="K18" s="10" t="n">
        <v>4</v>
      </c>
      <c r="L18" s="10" t="n">
        <v>5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41.2</v>
      </c>
      <c r="C20" s="8" t="n">
        <v>193.3</v>
      </c>
      <c r="D20" s="8" t="n">
        <v>124.5</v>
      </c>
      <c r="E20" s="8" t="n">
        <v>69.40000000000001</v>
      </c>
      <c r="F20" s="8" t="n">
        <v>151.5</v>
      </c>
      <c r="G20" s="8" t="n">
        <v>36.3</v>
      </c>
      <c r="H20" s="8" t="n">
        <v>15.5</v>
      </c>
      <c r="I20" s="8" t="n">
        <v>40.8</v>
      </c>
      <c r="J20" s="8" t="n">
        <v>90.8</v>
      </c>
      <c r="K20" s="8" t="n">
        <v>60.7</v>
      </c>
      <c r="L20" s="8" t="n">
        <v>83.5</v>
      </c>
      <c r="M20" s="8" t="n">
        <v>147.7</v>
      </c>
      <c r="N20" s="9">
        <f>SUM(B20:M20)</f>
        <v/>
      </c>
    </row>
    <row r="21">
      <c r="A21" s="7" t="inlineStr">
        <is>
          <t>Max. dnevna suma</t>
        </is>
      </c>
      <c r="B21" s="8" t="n">
        <v>14.8</v>
      </c>
      <c r="C21" s="8" t="n">
        <v>47.2</v>
      </c>
      <c r="D21" s="8" t="n">
        <v>38.1</v>
      </c>
      <c r="E21" s="8" t="n">
        <v>20</v>
      </c>
      <c r="F21" s="8" t="n">
        <v>64.90000000000001</v>
      </c>
      <c r="G21" s="8" t="n">
        <v>15.4</v>
      </c>
      <c r="H21" s="8" t="n">
        <v>4.9</v>
      </c>
      <c r="I21" s="8" t="n">
        <v>19.8</v>
      </c>
      <c r="J21" s="8" t="n">
        <v>51.7</v>
      </c>
      <c r="K21" s="8" t="n">
        <v>25.8</v>
      </c>
      <c r="L21" s="8" t="n">
        <v>29.7</v>
      </c>
      <c r="M21" s="8" t="n">
        <v>34.7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13</v>
      </c>
      <c r="D22" s="10" t="n">
        <v>11</v>
      </c>
      <c r="E22" s="10" t="n">
        <v>12</v>
      </c>
      <c r="F22" s="10" t="n">
        <v>12</v>
      </c>
      <c r="G22" s="10" t="n">
        <v>15</v>
      </c>
      <c r="H22" s="10" t="n">
        <v>9</v>
      </c>
      <c r="I22" s="10" t="n">
        <v>17</v>
      </c>
      <c r="J22" s="10" t="n">
        <v>8</v>
      </c>
      <c r="K22" s="10" t="n">
        <v>7</v>
      </c>
      <c r="L22" s="10" t="n">
        <v>10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6</v>
      </c>
      <c r="D23" s="10" t="n">
        <v>4</v>
      </c>
      <c r="E23" s="10" t="n">
        <v>1</v>
      </c>
      <c r="F23" s="10" t="n">
        <v>6</v>
      </c>
      <c r="G23" s="10" t="n">
        <v>1</v>
      </c>
      <c r="H23" s="10" t="n">
        <v>0</v>
      </c>
      <c r="I23" s="10" t="n">
        <v>1</v>
      </c>
      <c r="J23" s="10" t="n">
        <v>2</v>
      </c>
      <c r="K23" s="10" t="n">
        <v>3</v>
      </c>
      <c r="L23" s="10" t="n">
        <v>3</v>
      </c>
      <c r="M23" s="10" t="n">
        <v>6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3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3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3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3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1984.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4.1</v>
      </c>
      <c r="C6" s="8" t="n">
        <v>4.1</v>
      </c>
      <c r="D6" s="8" t="n">
        <v>6.7</v>
      </c>
      <c r="E6" s="8" t="n">
        <v>10.5</v>
      </c>
      <c r="F6" s="8" t="n">
        <v>14.8</v>
      </c>
      <c r="G6" s="8" t="n">
        <v>18.1</v>
      </c>
      <c r="H6" s="8" t="n">
        <v>21.8</v>
      </c>
      <c r="I6" s="8" t="n">
        <v>20.7</v>
      </c>
      <c r="J6" s="8" t="n">
        <v>17.2</v>
      </c>
      <c r="K6" s="8" t="n">
        <v>14</v>
      </c>
      <c r="L6" s="8" t="n">
        <v>8.800000000000001</v>
      </c>
      <c r="M6" s="8" t="n">
        <v>3.6</v>
      </c>
      <c r="N6" s="9">
        <f>AVERAGE(B6:M6)</f>
        <v/>
      </c>
    </row>
    <row r="7">
      <c r="A7" s="7" t="inlineStr">
        <is>
          <t>Srednja maksimalna</t>
        </is>
      </c>
      <c r="B7" s="8" t="n">
        <v>8.6</v>
      </c>
      <c r="C7" s="8" t="n">
        <v>7.9</v>
      </c>
      <c r="D7" s="8" t="n">
        <v>11.7</v>
      </c>
      <c r="E7" s="8" t="n">
        <v>15.7</v>
      </c>
      <c r="F7" s="8" t="n">
        <v>19.4</v>
      </c>
      <c r="G7" s="8" t="n">
        <v>23.6</v>
      </c>
      <c r="H7" s="8" t="n">
        <v>28.1</v>
      </c>
      <c r="I7" s="8" t="n">
        <v>26.4</v>
      </c>
      <c r="J7" s="8" t="n">
        <v>22.5</v>
      </c>
      <c r="K7" s="8" t="n">
        <v>19.5</v>
      </c>
      <c r="L7" s="8" t="n">
        <v>14.4</v>
      </c>
      <c r="M7" s="8" t="n">
        <v>9.6</v>
      </c>
      <c r="N7" s="9">
        <f>AVERAGE(B7:M7)</f>
        <v/>
      </c>
    </row>
    <row r="8">
      <c r="A8" s="7" t="inlineStr">
        <is>
          <t>Srednja minimalna</t>
        </is>
      </c>
      <c r="B8" s="8" t="n">
        <v>0</v>
      </c>
      <c r="C8" s="8" t="n">
        <v>0.5</v>
      </c>
      <c r="D8" s="8" t="n">
        <v>1.5</v>
      </c>
      <c r="E8" s="8" t="n">
        <v>4.4</v>
      </c>
      <c r="F8" s="8" t="n">
        <v>9.4</v>
      </c>
      <c r="G8" s="8" t="n">
        <v>11.2</v>
      </c>
      <c r="H8" s="8" t="n">
        <v>13.7</v>
      </c>
      <c r="I8" s="8" t="n">
        <v>14.2</v>
      </c>
      <c r="J8" s="8" t="n">
        <v>11.8</v>
      </c>
      <c r="K8" s="8" t="n">
        <v>9.1</v>
      </c>
      <c r="L8" s="8" t="n">
        <v>4.1</v>
      </c>
      <c r="M8" s="8" t="n">
        <v>-0.7</v>
      </c>
      <c r="N8" s="9">
        <f>AVERAGE(B8:M8)</f>
        <v/>
      </c>
    </row>
    <row r="9">
      <c r="A9" s="7" t="inlineStr">
        <is>
          <t>Apsolutni maksimum</t>
        </is>
      </c>
      <c r="B9" s="8" t="n">
        <v>12.1</v>
      </c>
      <c r="C9" s="8" t="n">
        <v>14</v>
      </c>
      <c r="D9" s="8" t="n">
        <v>16.1</v>
      </c>
      <c r="E9" s="8" t="n">
        <v>20</v>
      </c>
      <c r="F9" s="8" t="n">
        <v>25.8</v>
      </c>
      <c r="G9" s="8" t="n">
        <v>28</v>
      </c>
      <c r="H9" s="8" t="n">
        <v>37.1</v>
      </c>
      <c r="I9" s="8" t="n">
        <v>33</v>
      </c>
      <c r="J9" s="8" t="n">
        <v>28.3</v>
      </c>
      <c r="K9" s="8" t="n">
        <v>25.1</v>
      </c>
      <c r="L9" s="8" t="n">
        <v>17</v>
      </c>
      <c r="M9" s="8" t="n">
        <v>14.4</v>
      </c>
      <c r="N9" s="9">
        <f>MAX(B9:M9)</f>
        <v/>
      </c>
    </row>
    <row r="10">
      <c r="A10" s="7" t="inlineStr">
        <is>
          <t>Apsolutni minimum</t>
        </is>
      </c>
      <c r="B10" s="8" t="n">
        <v>-4.4</v>
      </c>
      <c r="C10" s="8" t="n">
        <v>-6.1</v>
      </c>
      <c r="D10" s="8" t="n">
        <v>-2.9</v>
      </c>
      <c r="E10" s="8" t="n">
        <v>-0.3</v>
      </c>
      <c r="F10" s="8" t="n">
        <v>6</v>
      </c>
      <c r="G10" s="8" t="n">
        <v>7.4</v>
      </c>
      <c r="H10" s="8" t="n">
        <v>8.800000000000001</v>
      </c>
      <c r="I10" s="8" t="n">
        <v>10.3</v>
      </c>
      <c r="J10" s="8" t="n">
        <v>8.5</v>
      </c>
      <c r="K10" s="8" t="n">
        <v>1.5</v>
      </c>
      <c r="L10" s="8" t="n">
        <v>-1.6</v>
      </c>
      <c r="M10" s="8" t="n">
        <v>-5.5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14</v>
      </c>
      <c r="D11" s="10" t="n">
        <v>12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21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11</v>
      </c>
      <c r="I12" s="10" t="n">
        <v>6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81</v>
      </c>
      <c r="C14" s="8" t="n">
        <v>73.59999999999999</v>
      </c>
      <c r="D14" s="8" t="n">
        <v>72.59999999999999</v>
      </c>
      <c r="E14" s="8" t="n">
        <v>69.5</v>
      </c>
      <c r="F14" s="8" t="n">
        <v>77.40000000000001</v>
      </c>
      <c r="G14" s="8" t="n">
        <v>69.2</v>
      </c>
      <c r="H14" s="8" t="n">
        <v>58.1</v>
      </c>
      <c r="I14" s="8" t="n">
        <v>67</v>
      </c>
      <c r="J14" s="8" t="n">
        <v>77</v>
      </c>
      <c r="K14" s="8" t="n">
        <v>79.40000000000001</v>
      </c>
      <c r="L14" s="8" t="n">
        <v>81.8</v>
      </c>
      <c r="M14" s="8" t="n">
        <v>79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159.4</v>
      </c>
      <c r="C16" s="8" t="n">
        <v>181.4</v>
      </c>
      <c r="D16" s="8" t="n">
        <v>287</v>
      </c>
      <c r="E16" s="8" t="n">
        <v>305.2</v>
      </c>
      <c r="F16" s="8" t="n">
        <v>347.2</v>
      </c>
      <c r="G16" s="8" t="n">
        <v>400.4</v>
      </c>
      <c r="H16" s="8" t="n">
        <v>431.7</v>
      </c>
      <c r="I16" s="8" t="n">
        <v>376.7</v>
      </c>
      <c r="J16" s="8" t="n">
        <v>291.2</v>
      </c>
      <c r="K16" s="8" t="n">
        <v>254.3</v>
      </c>
      <c r="L16" s="8" t="n">
        <v>196</v>
      </c>
      <c r="M16" s="8" t="n">
        <v>227.5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1</v>
      </c>
      <c r="D17" s="10" t="n">
        <v>1</v>
      </c>
      <c r="E17" s="10" t="n">
        <v>2</v>
      </c>
      <c r="F17" s="10" t="n">
        <v>0</v>
      </c>
      <c r="G17" s="10" t="n">
        <v>16</v>
      </c>
      <c r="H17" s="10" t="n">
        <v>25</v>
      </c>
      <c r="I17" s="10" t="n">
        <v>13</v>
      </c>
      <c r="J17" s="10" t="n">
        <v>8</v>
      </c>
      <c r="K17" s="10" t="n">
        <v>5</v>
      </c>
      <c r="L17" s="10" t="n">
        <v>10</v>
      </c>
      <c r="M17" s="10" t="n">
        <v>7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16</v>
      </c>
      <c r="D18" s="10" t="n">
        <v>14</v>
      </c>
      <c r="E18" s="10" t="n">
        <v>8</v>
      </c>
      <c r="F18" s="10" t="n">
        <v>6</v>
      </c>
      <c r="G18" s="10" t="n">
        <v>1</v>
      </c>
      <c r="H18" s="10" t="n">
        <v>0</v>
      </c>
      <c r="I18" s="10" t="n">
        <v>1</v>
      </c>
      <c r="J18" s="10" t="n">
        <v>7</v>
      </c>
      <c r="K18" s="10" t="n">
        <v>12</v>
      </c>
      <c r="L18" s="10" t="n">
        <v>10</v>
      </c>
      <c r="M18" s="10" t="n">
        <v>4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223.2</v>
      </c>
      <c r="C20" s="8" t="n">
        <v>192</v>
      </c>
      <c r="D20" s="8" t="n">
        <v>136.6</v>
      </c>
      <c r="E20" s="8" t="n">
        <v>131.6</v>
      </c>
      <c r="F20" s="8" t="n">
        <v>188.6</v>
      </c>
      <c r="G20" s="8" t="n">
        <v>41.7</v>
      </c>
      <c r="H20" s="8" t="n">
        <v>16.2</v>
      </c>
      <c r="I20" s="8" t="n">
        <v>108.2</v>
      </c>
      <c r="J20" s="8" t="n">
        <v>236.1</v>
      </c>
      <c r="K20" s="8" t="n">
        <v>224.4</v>
      </c>
      <c r="L20" s="8" t="n">
        <v>143.3</v>
      </c>
      <c r="M20" s="8" t="n">
        <v>30.2</v>
      </c>
      <c r="N20" s="9">
        <f>SUM(B20:M20)</f>
        <v/>
      </c>
    </row>
    <row r="21">
      <c r="A21" s="7" t="inlineStr">
        <is>
          <t>Max. dnevna suma</t>
        </is>
      </c>
      <c r="B21" s="8" t="n">
        <v>41.2</v>
      </c>
      <c r="C21" s="8" t="n">
        <v>28.6</v>
      </c>
      <c r="D21" s="8" t="n">
        <v>26.9</v>
      </c>
      <c r="E21" s="8" t="n">
        <v>28</v>
      </c>
      <c r="F21" s="8" t="n">
        <v>32.8</v>
      </c>
      <c r="G21" s="8" t="n">
        <v>16.1</v>
      </c>
      <c r="H21" s="8" t="n">
        <v>15</v>
      </c>
      <c r="I21" s="8" t="n">
        <v>46.6</v>
      </c>
      <c r="J21" s="8" t="n">
        <v>51.4</v>
      </c>
      <c r="K21" s="8" t="n">
        <v>115.1</v>
      </c>
      <c r="L21" s="8" t="n">
        <v>26.6</v>
      </c>
      <c r="M21" s="8" t="n">
        <v>7.2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18</v>
      </c>
      <c r="C22" s="10" t="n">
        <v>22</v>
      </c>
      <c r="D22" s="10" t="n">
        <v>18</v>
      </c>
      <c r="E22" s="10" t="n">
        <v>17</v>
      </c>
      <c r="F22" s="10" t="n">
        <v>22</v>
      </c>
      <c r="G22" s="10" t="n">
        <v>11</v>
      </c>
      <c r="H22" s="10" t="n">
        <v>3</v>
      </c>
      <c r="I22" s="10" t="n">
        <v>14</v>
      </c>
      <c r="J22" s="10" t="n">
        <v>16</v>
      </c>
      <c r="K22" s="10" t="n">
        <v>11</v>
      </c>
      <c r="L22" s="10" t="n">
        <v>11</v>
      </c>
      <c r="M22" s="10" t="n">
        <v>12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7</v>
      </c>
      <c r="D23" s="10" t="n">
        <v>6</v>
      </c>
      <c r="E23" s="10" t="n">
        <v>4</v>
      </c>
      <c r="F23" s="10" t="n">
        <v>7</v>
      </c>
      <c r="G23" s="10" t="n">
        <v>2</v>
      </c>
      <c r="H23" s="10" t="n">
        <v>1</v>
      </c>
      <c r="I23" s="10" t="n">
        <v>2</v>
      </c>
      <c r="J23" s="10" t="n">
        <v>8</v>
      </c>
      <c r="K23" s="10" t="n">
        <v>3</v>
      </c>
      <c r="L23" s="10" t="n">
        <v>6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4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4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1985.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-0.2</v>
      </c>
      <c r="C6" s="8" t="n">
        <v>1.8</v>
      </c>
      <c r="D6" s="8" t="n">
        <v>7.6</v>
      </c>
      <c r="E6" s="8" t="n">
        <v>11.6</v>
      </c>
      <c r="F6" s="8" t="n">
        <v>17</v>
      </c>
      <c r="G6" s="8" t="n">
        <v>19.1</v>
      </c>
      <c r="H6" s="8" t="n">
        <v>23.7</v>
      </c>
      <c r="I6" s="8" t="n">
        <v>23.3</v>
      </c>
      <c r="J6" s="8" t="n">
        <v>19.6</v>
      </c>
      <c r="K6" s="8" t="n">
        <v>13.6</v>
      </c>
      <c r="L6" s="8" t="n">
        <v>8.6</v>
      </c>
      <c r="M6" s="8" t="n">
        <v>6</v>
      </c>
      <c r="N6" s="9">
        <f>AVERAGE(B6:M6)</f>
        <v/>
      </c>
    </row>
    <row r="7">
      <c r="A7" s="7" t="inlineStr">
        <is>
          <t>Srednja maksimalna</t>
        </is>
      </c>
      <c r="B7" s="8" t="n">
        <v>5.1</v>
      </c>
      <c r="C7" s="8" t="n">
        <v>7.1</v>
      </c>
      <c r="D7" s="8" t="n">
        <v>12.7</v>
      </c>
      <c r="E7" s="8" t="n">
        <v>16.8</v>
      </c>
      <c r="F7" s="8" t="n">
        <v>22.3</v>
      </c>
      <c r="G7" s="8" t="n">
        <v>24.2</v>
      </c>
      <c r="H7" s="8" t="n">
        <v>30.2</v>
      </c>
      <c r="I7" s="8" t="n">
        <v>29.8</v>
      </c>
      <c r="J7" s="8" t="n">
        <v>26.8</v>
      </c>
      <c r="K7" s="8" t="n">
        <v>20</v>
      </c>
      <c r="L7" s="8" t="n">
        <v>12.7</v>
      </c>
      <c r="M7" s="8" t="n">
        <v>11.3</v>
      </c>
      <c r="N7" s="9">
        <f>AVERAGE(B7:M7)</f>
        <v/>
      </c>
    </row>
    <row r="8">
      <c r="A8" s="7" t="inlineStr">
        <is>
          <t>Srednja minimalna</t>
        </is>
      </c>
      <c r="B8" s="8" t="n">
        <v>-4.8</v>
      </c>
      <c r="C8" s="8" t="n">
        <v>-3.4</v>
      </c>
      <c r="D8" s="8" t="n">
        <v>2.5</v>
      </c>
      <c r="E8" s="8" t="n">
        <v>5.7</v>
      </c>
      <c r="F8" s="8" t="n">
        <v>10.4</v>
      </c>
      <c r="G8" s="8" t="n">
        <v>12.5</v>
      </c>
      <c r="H8" s="8" t="n">
        <v>15.4</v>
      </c>
      <c r="I8" s="8" t="n">
        <v>15.6</v>
      </c>
      <c r="J8" s="8" t="n">
        <v>11.9</v>
      </c>
      <c r="K8" s="8" t="n">
        <v>7.5</v>
      </c>
      <c r="L8" s="8" t="n">
        <v>4.5</v>
      </c>
      <c r="M8" s="8" t="n">
        <v>1.6</v>
      </c>
      <c r="N8" s="9">
        <f>AVERAGE(B8:M8)</f>
        <v/>
      </c>
    </row>
    <row r="9">
      <c r="A9" s="7" t="inlineStr">
        <is>
          <t>Apsolutni maksimum</t>
        </is>
      </c>
      <c r="B9" s="8" t="n">
        <v>13.5</v>
      </c>
      <c r="C9" s="8" t="n">
        <v>13.3</v>
      </c>
      <c r="D9" s="8" t="n">
        <v>16.5</v>
      </c>
      <c r="E9" s="8" t="n">
        <v>21.8</v>
      </c>
      <c r="F9" s="8" t="n">
        <v>27.1</v>
      </c>
      <c r="G9" s="8" t="n">
        <v>28.4</v>
      </c>
      <c r="H9" s="8" t="n">
        <v>33.9</v>
      </c>
      <c r="I9" s="8" t="n">
        <v>34.9</v>
      </c>
      <c r="J9" s="8" t="n">
        <v>31.3</v>
      </c>
      <c r="K9" s="8" t="n">
        <v>29.2</v>
      </c>
      <c r="L9" s="8" t="n">
        <v>18.8</v>
      </c>
      <c r="M9" s="8" t="n">
        <v>13.8</v>
      </c>
      <c r="N9" s="9">
        <f>MAX(B9:M9)</f>
        <v/>
      </c>
    </row>
    <row r="10">
      <c r="A10" s="7" t="inlineStr">
        <is>
          <t>Apsolutni minimum</t>
        </is>
      </c>
      <c r="B10" s="8" t="n">
        <v>-22.7</v>
      </c>
      <c r="C10" s="8" t="n">
        <v>-11.3</v>
      </c>
      <c r="D10" s="8" t="n">
        <v>-2.6</v>
      </c>
      <c r="E10" s="8" t="n">
        <v>0.5</v>
      </c>
      <c r="F10" s="8" t="n">
        <v>2.9</v>
      </c>
      <c r="G10" s="8" t="n">
        <v>8.5</v>
      </c>
      <c r="H10" s="8" t="n">
        <v>10.7</v>
      </c>
      <c r="I10" s="8" t="n">
        <v>11.3</v>
      </c>
      <c r="J10" s="8" t="n">
        <v>8.1</v>
      </c>
      <c r="K10" s="8" t="n">
        <v>1.6</v>
      </c>
      <c r="L10" s="8" t="n">
        <v>-2.4</v>
      </c>
      <c r="M10" s="8" t="n">
        <v>-2.8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21</v>
      </c>
      <c r="D11" s="10" t="n">
        <v>7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12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17</v>
      </c>
      <c r="I12" s="10" t="n">
        <v>19</v>
      </c>
      <c r="J12" s="10" t="n">
        <v>3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80.2</v>
      </c>
      <c r="C14" s="8" t="n">
        <v>67.7</v>
      </c>
      <c r="D14" s="8" t="n">
        <v>81.5</v>
      </c>
      <c r="E14" s="8" t="n">
        <v>73.59999999999999</v>
      </c>
      <c r="F14" s="8" t="n">
        <v>76.40000000000001</v>
      </c>
      <c r="G14" s="8" t="n">
        <v>69.3</v>
      </c>
      <c r="H14" s="8" t="n">
        <v>55.1</v>
      </c>
      <c r="I14" s="8" t="n">
        <v>57.8</v>
      </c>
      <c r="J14" s="8" t="n">
        <v>58.8</v>
      </c>
      <c r="K14" s="8" t="n">
        <v>64.90000000000001</v>
      </c>
      <c r="L14" s="8" t="n">
        <v>82.3</v>
      </c>
      <c r="M14" s="8" t="n">
        <v>87.59999999999999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177.1</v>
      </c>
      <c r="C16" s="8" t="n">
        <v>200.3</v>
      </c>
      <c r="D16" s="8" t="n">
        <v>231.6</v>
      </c>
      <c r="E16" s="8" t="n">
        <v>321.7</v>
      </c>
      <c r="F16" s="8" t="n">
        <v>376.6</v>
      </c>
      <c r="G16" s="8" t="n">
        <v>399.8</v>
      </c>
      <c r="H16" s="8" t="n">
        <v>432.1</v>
      </c>
      <c r="I16" s="8" t="n">
        <v>385.3</v>
      </c>
      <c r="J16" s="8" t="n">
        <v>349.8</v>
      </c>
      <c r="K16" s="8" t="n">
        <v>272</v>
      </c>
      <c r="L16" s="8" t="n">
        <v>177.9</v>
      </c>
      <c r="M16" s="8" t="n">
        <v>197.1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9</v>
      </c>
      <c r="D17" s="10" t="n">
        <v>1</v>
      </c>
      <c r="E17" s="10" t="n">
        <v>5</v>
      </c>
      <c r="F17" s="10" t="n">
        <v>7</v>
      </c>
      <c r="G17" s="10" t="n">
        <v>6</v>
      </c>
      <c r="H17" s="10" t="n">
        <v>23</v>
      </c>
      <c r="I17" s="10" t="n">
        <v>20</v>
      </c>
      <c r="J17" s="10" t="n">
        <v>21</v>
      </c>
      <c r="K17" s="10" t="n">
        <v>16</v>
      </c>
      <c r="L17" s="10" t="n">
        <v>2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18</v>
      </c>
      <c r="C18" s="10" t="n">
        <v>12</v>
      </c>
      <c r="D18" s="10" t="n">
        <v>22</v>
      </c>
      <c r="E18" s="10" t="n">
        <v>5</v>
      </c>
      <c r="F18" s="10" t="n">
        <v>5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6</v>
      </c>
      <c r="L18" s="10" t="n">
        <v>13</v>
      </c>
      <c r="M18" s="10" t="n">
        <v>10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124.1</v>
      </c>
      <c r="C20" s="8" t="n">
        <v>78.90000000000001</v>
      </c>
      <c r="D20" s="8" t="n">
        <v>217.3</v>
      </c>
      <c r="E20" s="8" t="n">
        <v>107.6</v>
      </c>
      <c r="F20" s="8" t="n">
        <v>120.2</v>
      </c>
      <c r="G20" s="8" t="n">
        <v>53.4</v>
      </c>
      <c r="H20" s="8" t="n">
        <v>6.7</v>
      </c>
      <c r="I20" s="8" t="n">
        <v>77.59999999999999</v>
      </c>
      <c r="J20" s="8" t="n">
        <v>5.9</v>
      </c>
      <c r="K20" s="8" t="n">
        <v>135</v>
      </c>
      <c r="L20" s="8" t="n">
        <v>393.9</v>
      </c>
      <c r="M20" s="8" t="n">
        <v>101.1</v>
      </c>
      <c r="N20" s="9">
        <f>SUM(B20:M20)</f>
        <v/>
      </c>
    </row>
    <row r="21">
      <c r="A21" s="7" t="inlineStr">
        <is>
          <t>Max. dnevna suma</t>
        </is>
      </c>
      <c r="B21" s="8" t="n">
        <v>21.2</v>
      </c>
      <c r="C21" s="8" t="n">
        <v>27.6</v>
      </c>
      <c r="D21" s="8" t="n">
        <v>26.1</v>
      </c>
      <c r="E21" s="8" t="n">
        <v>17.8</v>
      </c>
      <c r="F21" s="8" t="n">
        <v>26.4</v>
      </c>
      <c r="G21" s="8" t="n">
        <v>14.1</v>
      </c>
      <c r="H21" s="8" t="n">
        <v>4.2</v>
      </c>
      <c r="I21" s="8" t="n">
        <v>40.5</v>
      </c>
      <c r="J21" s="8" t="n">
        <v>3.6</v>
      </c>
      <c r="K21" s="8" t="n">
        <v>61.1</v>
      </c>
      <c r="L21" s="8" t="n">
        <v>81.2</v>
      </c>
      <c r="M21" s="8" t="n">
        <v>26.5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15</v>
      </c>
      <c r="D22" s="10" t="n">
        <v>19</v>
      </c>
      <c r="E22" s="10" t="n">
        <v>13</v>
      </c>
      <c r="F22" s="10" t="n">
        <v>16</v>
      </c>
      <c r="G22" s="10" t="n">
        <v>14</v>
      </c>
      <c r="H22" s="10" t="n">
        <v>5</v>
      </c>
      <c r="I22" s="10" t="n">
        <v>8</v>
      </c>
      <c r="J22" s="10" t="n">
        <v>5</v>
      </c>
      <c r="K22" s="10" t="n">
        <v>8</v>
      </c>
      <c r="L22" s="10" t="n">
        <v>20</v>
      </c>
      <c r="M22" s="10" t="n">
        <v>12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5</v>
      </c>
      <c r="C23" s="10" t="n">
        <v>3</v>
      </c>
      <c r="D23" s="10" t="n">
        <v>10</v>
      </c>
      <c r="E23" s="10" t="n">
        <v>5</v>
      </c>
      <c r="F23" s="10" t="n">
        <v>6</v>
      </c>
      <c r="G23" s="10" t="n">
        <v>1</v>
      </c>
      <c r="H23" s="10" t="n">
        <v>0</v>
      </c>
      <c r="I23" s="10" t="n">
        <v>2</v>
      </c>
      <c r="J23" s="10" t="n">
        <v>0</v>
      </c>
      <c r="K23" s="10" t="n">
        <v>3</v>
      </c>
      <c r="L23" s="10" t="n">
        <v>11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7</v>
      </c>
      <c r="C25" s="10" t="n">
        <v>5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7</v>
      </c>
      <c r="C26" s="10" t="n">
        <v>5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1986.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3.8</v>
      </c>
      <c r="C6" s="8" t="n">
        <v>4</v>
      </c>
      <c r="D6" s="8" t="n">
        <v>8.5</v>
      </c>
      <c r="E6" s="8" t="n">
        <v>12</v>
      </c>
      <c r="F6" s="8" t="n">
        <v>18.2</v>
      </c>
      <c r="G6" s="8" t="n">
        <v>19.5</v>
      </c>
      <c r="H6" s="8" t="n">
        <v>21.5</v>
      </c>
      <c r="I6" s="8" t="n">
        <v>24</v>
      </c>
      <c r="J6" s="8" t="n">
        <v>19.4</v>
      </c>
      <c r="K6" s="8" t="n">
        <v>14.2</v>
      </c>
      <c r="L6" s="8" t="n">
        <v>7.7</v>
      </c>
      <c r="M6" s="8" t="n">
        <v>2.2</v>
      </c>
      <c r="N6" s="9">
        <f>AVERAGE(B6:M6)</f>
        <v/>
      </c>
    </row>
    <row r="7">
      <c r="A7" s="7" t="inlineStr">
        <is>
          <t>Srednja maksimalna</t>
        </is>
      </c>
      <c r="B7" s="8" t="n">
        <v>8.1</v>
      </c>
      <c r="C7" s="8" t="n">
        <v>8.1</v>
      </c>
      <c r="D7" s="8" t="n">
        <v>13.3</v>
      </c>
      <c r="E7" s="8" t="n">
        <v>17.3</v>
      </c>
      <c r="F7" s="8" t="n">
        <v>23.7</v>
      </c>
      <c r="G7" s="8" t="n">
        <v>24.6</v>
      </c>
      <c r="H7" s="8" t="n">
        <v>27.3</v>
      </c>
      <c r="I7" s="8" t="n">
        <v>30.2</v>
      </c>
      <c r="J7" s="8" t="n">
        <v>26.2</v>
      </c>
      <c r="K7" s="8" t="n">
        <v>20.7</v>
      </c>
      <c r="L7" s="8" t="n">
        <v>13.8</v>
      </c>
      <c r="M7" s="8" t="n">
        <v>8.4</v>
      </c>
      <c r="N7" s="9">
        <f>AVERAGE(B7:M7)</f>
        <v/>
      </c>
    </row>
    <row r="8">
      <c r="A8" s="7" t="inlineStr">
        <is>
          <t>Srednja minimalna</t>
        </is>
      </c>
      <c r="B8" s="8" t="n">
        <v>-0.5</v>
      </c>
      <c r="C8" s="8" t="n">
        <v>0.4</v>
      </c>
      <c r="D8" s="8" t="n">
        <v>3.3</v>
      </c>
      <c r="E8" s="8" t="n">
        <v>5.6</v>
      </c>
      <c r="F8" s="8" t="n">
        <v>11.2</v>
      </c>
      <c r="G8" s="8" t="n">
        <v>13.1</v>
      </c>
      <c r="H8" s="8" t="n">
        <v>14.6</v>
      </c>
      <c r="I8" s="8" t="n">
        <v>16.6</v>
      </c>
      <c r="J8" s="8" t="n">
        <v>12</v>
      </c>
      <c r="K8" s="8" t="n">
        <v>7.9</v>
      </c>
      <c r="L8" s="8" t="n">
        <v>2.8</v>
      </c>
      <c r="M8" s="8" t="n">
        <v>-2.3</v>
      </c>
      <c r="N8" s="9">
        <f>AVERAGE(B8:M8)</f>
        <v/>
      </c>
    </row>
    <row r="9">
      <c r="A9" s="7" t="inlineStr">
        <is>
          <t>Apsolutni maksimum</t>
        </is>
      </c>
      <c r="B9" s="8" t="n">
        <v>12.6</v>
      </c>
      <c r="C9" s="8" t="n">
        <v>12.2</v>
      </c>
      <c r="D9" s="8" t="n">
        <v>20.2</v>
      </c>
      <c r="E9" s="8" t="n">
        <v>22.9</v>
      </c>
      <c r="F9" s="8" t="n">
        <v>28.1</v>
      </c>
      <c r="G9" s="8" t="n">
        <v>28.6</v>
      </c>
      <c r="H9" s="8" t="n">
        <v>30.8</v>
      </c>
      <c r="I9" s="8" t="n">
        <v>33.6</v>
      </c>
      <c r="J9" s="8" t="n">
        <v>30.8</v>
      </c>
      <c r="K9" s="8" t="n">
        <v>27.3</v>
      </c>
      <c r="L9" s="8" t="n">
        <v>16.7</v>
      </c>
      <c r="M9" s="8" t="n">
        <v>13.4</v>
      </c>
      <c r="N9" s="9">
        <f>MAX(B9:M9)</f>
        <v/>
      </c>
    </row>
    <row r="10">
      <c r="A10" s="7" t="inlineStr">
        <is>
          <t>Apsolutni minimum</t>
        </is>
      </c>
      <c r="B10" s="8" t="n">
        <v>-5.2</v>
      </c>
      <c r="C10" s="8" t="n">
        <v>-4.1</v>
      </c>
      <c r="D10" s="8" t="n">
        <v>-3.2</v>
      </c>
      <c r="E10" s="8" t="n">
        <v>-1</v>
      </c>
      <c r="F10" s="8" t="n">
        <v>5.9</v>
      </c>
      <c r="G10" s="8" t="n">
        <v>6.6</v>
      </c>
      <c r="H10" s="8" t="n">
        <v>11.8</v>
      </c>
      <c r="I10" s="8" t="n">
        <v>10.4</v>
      </c>
      <c r="J10" s="8" t="n">
        <v>8.699999999999999</v>
      </c>
      <c r="K10" s="8" t="n">
        <v>3.8</v>
      </c>
      <c r="L10" s="8" t="n">
        <v>-3.2</v>
      </c>
      <c r="M10" s="8" t="n">
        <v>-5.8</v>
      </c>
      <c r="N10" s="9">
        <f>MIN(B10:M10)</f>
        <v/>
      </c>
    </row>
    <row r="11">
      <c r="A11" s="7" t="inlineStr">
        <is>
          <t>Sr. br. mraznih dana</t>
        </is>
      </c>
      <c r="B11" s="10" t="n">
        <v>20</v>
      </c>
      <c r="C11" s="10" t="n">
        <v>14</v>
      </c>
      <c r="D11" s="10" t="n">
        <v>5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6</v>
      </c>
      <c r="M11" s="10" t="n">
        <v>27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</v>
      </c>
      <c r="I12" s="10" t="n">
        <v>16</v>
      </c>
      <c r="J12" s="10" t="n">
        <v>3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78.5</v>
      </c>
      <c r="C14" s="8" t="n">
        <v>78.59999999999999</v>
      </c>
      <c r="D14" s="8" t="n">
        <v>79</v>
      </c>
      <c r="E14" s="8" t="n">
        <v>74</v>
      </c>
      <c r="F14" s="8" t="n">
        <v>73.40000000000001</v>
      </c>
      <c r="G14" s="8" t="n">
        <v>71.90000000000001</v>
      </c>
      <c r="H14" s="8" t="n">
        <v>67.8</v>
      </c>
      <c r="I14" s="8" t="n">
        <v>59.9</v>
      </c>
      <c r="J14" s="8" t="n">
        <v>56.5</v>
      </c>
      <c r="K14" s="8" t="n">
        <v>69.3</v>
      </c>
      <c r="L14" s="8" t="n">
        <v>79.5</v>
      </c>
      <c r="M14" s="8" t="n">
        <v>76.8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165.2</v>
      </c>
      <c r="C16" s="8" t="n">
        <v>158.5</v>
      </c>
      <c r="D16" s="8" t="n">
        <v>225.6</v>
      </c>
      <c r="E16" s="8" t="n">
        <v>298.7</v>
      </c>
      <c r="F16" s="8" t="n">
        <v>399.8</v>
      </c>
      <c r="G16" s="8" t="n">
        <v>378</v>
      </c>
      <c r="H16" s="8" t="n">
        <v>405.2</v>
      </c>
      <c r="I16" s="8" t="n">
        <v>406.1</v>
      </c>
      <c r="J16" s="8" t="n">
        <v>334.3</v>
      </c>
      <c r="K16" s="8" t="n">
        <v>291.2</v>
      </c>
      <c r="L16" s="8" t="n">
        <v>231.8</v>
      </c>
      <c r="M16" s="8" t="n">
        <v>215.3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1</v>
      </c>
      <c r="D17" s="10" t="n">
        <v>4</v>
      </c>
      <c r="E17" s="10" t="n">
        <v>2</v>
      </c>
      <c r="F17" s="10" t="n">
        <v>6</v>
      </c>
      <c r="G17" s="10" t="n">
        <v>5</v>
      </c>
      <c r="H17" s="10" t="n">
        <v>13</v>
      </c>
      <c r="I17" s="10" t="n">
        <v>22</v>
      </c>
      <c r="J17" s="10" t="n">
        <v>17</v>
      </c>
      <c r="K17" s="10" t="n">
        <v>12</v>
      </c>
      <c r="L17" s="10" t="n">
        <v>12</v>
      </c>
      <c r="M17" s="10" t="n">
        <v>11</v>
      </c>
      <c r="N17" s="11">
        <f>SUM(B17:M17)</f>
        <v/>
      </c>
    </row>
    <row r="18">
      <c r="A18" s="7" t="inlineStr">
        <is>
          <t>Broj oblačnih dana</t>
        </is>
      </c>
      <c r="B18" s="10" t="n">
        <v>16</v>
      </c>
      <c r="C18" s="10" t="n">
        <v>17</v>
      </c>
      <c r="D18" s="10" t="n">
        <v>19</v>
      </c>
      <c r="E18" s="10" t="n">
        <v>12</v>
      </c>
      <c r="F18" s="10" t="n">
        <v>3</v>
      </c>
      <c r="G18" s="10" t="n">
        <v>3</v>
      </c>
      <c r="H18" s="10" t="n">
        <v>1</v>
      </c>
      <c r="I18" s="10" t="n">
        <v>0</v>
      </c>
      <c r="J18" s="10" t="n">
        <v>5</v>
      </c>
      <c r="K18" s="10" t="n">
        <v>4</v>
      </c>
      <c r="L18" s="10" t="n">
        <v>6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212.5</v>
      </c>
      <c r="C20" s="8" t="n">
        <v>315.1</v>
      </c>
      <c r="D20" s="8" t="n">
        <v>201.5</v>
      </c>
      <c r="E20" s="8" t="n">
        <v>161.3</v>
      </c>
      <c r="F20" s="8" t="n">
        <v>57.7</v>
      </c>
      <c r="G20" s="8" t="n">
        <v>121.5</v>
      </c>
      <c r="H20" s="8" t="n">
        <v>64.5</v>
      </c>
      <c r="I20" s="8" t="n">
        <v>12.5</v>
      </c>
      <c r="J20" s="8" t="n">
        <v>27.9</v>
      </c>
      <c r="K20" s="8" t="n">
        <v>122.1</v>
      </c>
      <c r="L20" s="8" t="n">
        <v>32.8</v>
      </c>
      <c r="M20" s="8" t="n">
        <v>63.8</v>
      </c>
      <c r="N20" s="9">
        <f>SUM(B20:M20)</f>
        <v/>
      </c>
    </row>
    <row r="21">
      <c r="A21" s="7" t="inlineStr">
        <is>
          <t>Max. dnevna suma</t>
        </is>
      </c>
      <c r="B21" s="8" t="n">
        <v>36.8</v>
      </c>
      <c r="C21" s="8" t="n">
        <v>62.9</v>
      </c>
      <c r="D21" s="8" t="n">
        <v>54.6</v>
      </c>
      <c r="E21" s="8" t="n">
        <v>41.8</v>
      </c>
      <c r="F21" s="8" t="n">
        <v>16.8</v>
      </c>
      <c r="G21" s="8" t="n">
        <v>38.1</v>
      </c>
      <c r="H21" s="8" t="n">
        <v>9</v>
      </c>
      <c r="I21" s="8" t="n">
        <v>3.6</v>
      </c>
      <c r="J21" s="8" t="n">
        <v>19.9</v>
      </c>
      <c r="K21" s="8" t="n">
        <v>32.2</v>
      </c>
      <c r="L21" s="8" t="n">
        <v>16.4</v>
      </c>
      <c r="M21" s="8" t="n">
        <v>21.4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18</v>
      </c>
      <c r="C22" s="10" t="n">
        <v>22</v>
      </c>
      <c r="D22" s="10" t="n">
        <v>21</v>
      </c>
      <c r="E22" s="10" t="n">
        <v>14</v>
      </c>
      <c r="F22" s="10" t="n">
        <v>13</v>
      </c>
      <c r="G22" s="10" t="n">
        <v>19</v>
      </c>
      <c r="H22" s="10" t="n">
        <v>17</v>
      </c>
      <c r="I22" s="10" t="n">
        <v>10</v>
      </c>
      <c r="J22" s="10" t="n">
        <v>4</v>
      </c>
      <c r="K22" s="10" t="n">
        <v>10</v>
      </c>
      <c r="L22" s="10" t="n">
        <v>7</v>
      </c>
      <c r="M22" s="10" t="n">
        <v>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8</v>
      </c>
      <c r="C23" s="10" t="n">
        <v>11</v>
      </c>
      <c r="D23" s="10" t="n">
        <v>6</v>
      </c>
      <c r="E23" s="10" t="n">
        <v>6</v>
      </c>
      <c r="F23" s="10" t="n">
        <v>3</v>
      </c>
      <c r="G23" s="10" t="n">
        <v>4</v>
      </c>
      <c r="H23" s="10" t="n">
        <v>0</v>
      </c>
      <c r="I23" s="10" t="n">
        <v>0</v>
      </c>
      <c r="J23" s="10" t="n">
        <v>1</v>
      </c>
      <c r="K23" s="10" t="n">
        <v>5</v>
      </c>
      <c r="L23" s="10" t="n">
        <v>1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5</v>
      </c>
      <c r="C25" s="10" t="n">
        <v>5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5</v>
      </c>
      <c r="C26" s="10" t="n">
        <v>5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1987.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2.7</v>
      </c>
      <c r="C6" s="8" t="n">
        <v>5.4</v>
      </c>
      <c r="D6" s="8" t="n">
        <v>3.5</v>
      </c>
      <c r="E6" s="8" t="n">
        <v>10.9</v>
      </c>
      <c r="F6" s="8" t="n">
        <v>13.7</v>
      </c>
      <c r="G6" s="8" t="n">
        <v>19</v>
      </c>
      <c r="H6" s="8" t="n">
        <v>24.4</v>
      </c>
      <c r="I6" s="8" t="n">
        <v>22.2</v>
      </c>
      <c r="J6" s="8" t="n">
        <v>22.5</v>
      </c>
      <c r="K6" s="8" t="n">
        <v>14.3</v>
      </c>
      <c r="L6" s="8" t="n">
        <v>9.1</v>
      </c>
      <c r="M6" s="8" t="n">
        <v>4.4</v>
      </c>
      <c r="N6" s="9">
        <f>AVERAGE(B6:M6)</f>
        <v/>
      </c>
    </row>
    <row r="7">
      <c r="A7" s="7" t="inlineStr">
        <is>
          <t>Srednja maksimalna</t>
        </is>
      </c>
      <c r="B7" s="8" t="n">
        <v>6.8</v>
      </c>
      <c r="C7" s="8" t="n">
        <v>9.800000000000001</v>
      </c>
      <c r="D7" s="8" t="n">
        <v>8.5</v>
      </c>
      <c r="E7" s="8" t="n">
        <v>16.3</v>
      </c>
      <c r="F7" s="8" t="n">
        <v>18.3</v>
      </c>
      <c r="G7" s="8" t="n">
        <v>24.3</v>
      </c>
      <c r="H7" s="8" t="n">
        <v>30.4</v>
      </c>
      <c r="I7" s="8" t="n">
        <v>28.3</v>
      </c>
      <c r="J7" s="8" t="n">
        <v>29.3</v>
      </c>
      <c r="K7" s="8" t="n">
        <v>19.5</v>
      </c>
      <c r="L7" s="8" t="n">
        <v>13.5</v>
      </c>
      <c r="M7" s="8" t="n">
        <v>10.3</v>
      </c>
      <c r="N7" s="9">
        <f>AVERAGE(B7:M7)</f>
        <v/>
      </c>
    </row>
    <row r="8">
      <c r="A8" s="7" t="inlineStr">
        <is>
          <t>Srednja minimalna</t>
        </is>
      </c>
      <c r="B8" s="8" t="n">
        <v>-1.3</v>
      </c>
      <c r="C8" s="8" t="n">
        <v>1.2</v>
      </c>
      <c r="D8" s="8" t="n">
        <v>-1.5</v>
      </c>
      <c r="E8" s="8" t="n">
        <v>4.6</v>
      </c>
      <c r="F8" s="8" t="n">
        <v>7.9</v>
      </c>
      <c r="G8" s="8" t="n">
        <v>12.1</v>
      </c>
      <c r="H8" s="8" t="n">
        <v>16.9</v>
      </c>
      <c r="I8" s="8" t="n">
        <v>15.1</v>
      </c>
      <c r="J8" s="8" t="n">
        <v>14.9</v>
      </c>
      <c r="K8" s="8" t="n">
        <v>9.1</v>
      </c>
      <c r="L8" s="8" t="n">
        <v>5</v>
      </c>
      <c r="M8" s="8" t="n">
        <v>-0.1</v>
      </c>
      <c r="N8" s="9">
        <f>AVERAGE(B8:M8)</f>
        <v/>
      </c>
    </row>
    <row r="9">
      <c r="A9" s="7" t="inlineStr">
        <is>
          <t>Apsolutni maksimum</t>
        </is>
      </c>
      <c r="B9" s="8" t="n">
        <v>11.6</v>
      </c>
      <c r="C9" s="8" t="n">
        <v>14.9</v>
      </c>
      <c r="D9" s="8" t="n">
        <v>15.2</v>
      </c>
      <c r="E9" s="8" t="n">
        <v>20.5</v>
      </c>
      <c r="F9" s="8" t="n">
        <v>23.1</v>
      </c>
      <c r="G9" s="8" t="n">
        <v>31.9</v>
      </c>
      <c r="H9" s="8" t="n">
        <v>37</v>
      </c>
      <c r="I9" s="8" t="n">
        <v>30.6</v>
      </c>
      <c r="J9" s="8" t="n">
        <v>35.4</v>
      </c>
      <c r="K9" s="8" t="n">
        <v>22.4</v>
      </c>
      <c r="L9" s="8" t="n">
        <v>17.8</v>
      </c>
      <c r="M9" s="8" t="n">
        <v>14.4</v>
      </c>
      <c r="N9" s="9">
        <f>MAX(B9:M9)</f>
        <v/>
      </c>
    </row>
    <row r="10">
      <c r="A10" s="7" t="inlineStr">
        <is>
          <t>Apsolutni minimum</t>
        </is>
      </c>
      <c r="B10" s="8" t="n">
        <v>-10.3</v>
      </c>
      <c r="C10" s="8" t="n">
        <v>-5.5</v>
      </c>
      <c r="D10" s="8" t="n">
        <v>-8.4</v>
      </c>
      <c r="E10" s="8" t="n">
        <v>-0.5</v>
      </c>
      <c r="F10" s="8" t="n">
        <v>3.2</v>
      </c>
      <c r="G10" s="8" t="n">
        <v>6.9</v>
      </c>
      <c r="H10" s="8" t="n">
        <v>12.8</v>
      </c>
      <c r="I10" s="8" t="n">
        <v>12</v>
      </c>
      <c r="J10" s="8" t="n">
        <v>8.699999999999999</v>
      </c>
      <c r="K10" s="8" t="n">
        <v>3.5</v>
      </c>
      <c r="L10" s="8" t="n">
        <v>-1.2</v>
      </c>
      <c r="M10" s="8" t="n">
        <v>-3.9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11</v>
      </c>
      <c r="D11" s="10" t="n">
        <v>21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</v>
      </c>
      <c r="H12" s="10" t="n">
        <v>18</v>
      </c>
      <c r="I12" s="10" t="n">
        <v>4</v>
      </c>
      <c r="J12" s="10" t="n">
        <v>13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74.90000000000001</v>
      </c>
      <c r="C14" s="8" t="n">
        <v>76.8</v>
      </c>
      <c r="D14" s="8" t="n">
        <v>61.1</v>
      </c>
      <c r="E14" s="8" t="n">
        <v>71</v>
      </c>
      <c r="F14" s="8" t="n">
        <v>76.5</v>
      </c>
      <c r="G14" s="8" t="n">
        <v>70.59999999999999</v>
      </c>
      <c r="H14" s="8" t="n">
        <v>59.8</v>
      </c>
      <c r="I14" s="8" t="n">
        <v>61.7</v>
      </c>
      <c r="J14" s="8" t="n">
        <v>61</v>
      </c>
      <c r="K14" s="8" t="n">
        <v>77.5</v>
      </c>
      <c r="L14" s="8" t="n">
        <v>81.3</v>
      </c>
      <c r="M14" s="8" t="n">
        <v>81.59999999999999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150.8</v>
      </c>
      <c r="C16" s="8" t="n">
        <v>153.3</v>
      </c>
      <c r="D16" s="8" t="n">
        <v>296.9</v>
      </c>
      <c r="E16" s="8" t="n">
        <v>333.8</v>
      </c>
      <c r="F16" s="8" t="n">
        <v>313.4</v>
      </c>
      <c r="G16" s="8" t="n">
        <v>381.7</v>
      </c>
      <c r="H16" s="8" t="n">
        <v>421.8</v>
      </c>
      <c r="I16" s="8" t="n">
        <v>404</v>
      </c>
      <c r="J16" s="8" t="n">
        <v>343.6</v>
      </c>
      <c r="K16" s="8" t="n">
        <v>269.6</v>
      </c>
      <c r="L16" s="8" t="n">
        <v>178.3</v>
      </c>
      <c r="M16" s="8" t="n">
        <v>189.1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2</v>
      </c>
      <c r="D17" s="10" t="n">
        <v>4</v>
      </c>
      <c r="E17" s="10" t="n">
        <v>8</v>
      </c>
      <c r="F17" s="10" t="n">
        <v>5</v>
      </c>
      <c r="G17" s="10" t="n">
        <v>10</v>
      </c>
      <c r="H17" s="10" t="n">
        <v>22</v>
      </c>
      <c r="I17" s="10" t="n">
        <v>18</v>
      </c>
      <c r="J17" s="10" t="n">
        <v>17</v>
      </c>
      <c r="K17" s="10" t="n">
        <v>6</v>
      </c>
      <c r="L17" s="10" t="n">
        <v>5</v>
      </c>
      <c r="M17" s="10" t="n">
        <v>8</v>
      </c>
      <c r="N17" s="11">
        <f>SUM(B17:M17)</f>
        <v/>
      </c>
    </row>
    <row r="18">
      <c r="A18" s="7" t="inlineStr">
        <is>
          <t>Broj oblačnih dana</t>
        </is>
      </c>
      <c r="B18" s="10" t="n">
        <v>15</v>
      </c>
      <c r="C18" s="10" t="n">
        <v>14</v>
      </c>
      <c r="D18" s="10" t="n">
        <v>9</v>
      </c>
      <c r="E18" s="10" t="n">
        <v>6</v>
      </c>
      <c r="F18" s="10" t="n">
        <v>7</v>
      </c>
      <c r="G18" s="10" t="n">
        <v>3</v>
      </c>
      <c r="H18" s="10" t="n">
        <v>0</v>
      </c>
      <c r="I18" s="10" t="n">
        <v>0</v>
      </c>
      <c r="J18" s="10" t="n">
        <v>1</v>
      </c>
      <c r="K18" s="10" t="n">
        <v>8</v>
      </c>
      <c r="L18" s="10" t="n">
        <v>14</v>
      </c>
      <c r="M18" s="10" t="n">
        <v>10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211.4</v>
      </c>
      <c r="C20" s="8" t="n">
        <v>134.9</v>
      </c>
      <c r="D20" s="8" t="n">
        <v>122.1</v>
      </c>
      <c r="E20" s="8" t="n">
        <v>79.5</v>
      </c>
      <c r="F20" s="8" t="n">
        <v>206.2</v>
      </c>
      <c r="G20" s="8" t="n">
        <v>69.5</v>
      </c>
      <c r="H20" s="8" t="n">
        <v>35.1</v>
      </c>
      <c r="I20" s="8" t="n">
        <v>26.1</v>
      </c>
      <c r="J20" s="8" t="n">
        <v>34.1</v>
      </c>
      <c r="K20" s="8" t="n">
        <v>146.5</v>
      </c>
      <c r="L20" s="8" t="n">
        <v>240.2</v>
      </c>
      <c r="M20" s="8" t="n">
        <v>103.7</v>
      </c>
      <c r="N20" s="9">
        <f>SUM(B20:M20)</f>
        <v/>
      </c>
    </row>
    <row r="21">
      <c r="A21" s="7" t="inlineStr">
        <is>
          <t>Max. dnevna suma</t>
        </is>
      </c>
      <c r="B21" s="8" t="n">
        <v>33.8</v>
      </c>
      <c r="C21" s="8" t="n">
        <v>24.9</v>
      </c>
      <c r="D21" s="8" t="n">
        <v>35</v>
      </c>
      <c r="E21" s="8" t="n">
        <v>24.5</v>
      </c>
      <c r="F21" s="8" t="n">
        <v>37.6</v>
      </c>
      <c r="G21" s="8" t="n">
        <v>31.8</v>
      </c>
      <c r="H21" s="8" t="n">
        <v>24.8</v>
      </c>
      <c r="I21" s="8" t="n">
        <v>8</v>
      </c>
      <c r="J21" s="8" t="n">
        <v>29.2</v>
      </c>
      <c r="K21" s="8" t="n">
        <v>46.8</v>
      </c>
      <c r="L21" s="8" t="n">
        <v>42.7</v>
      </c>
      <c r="M21" s="8" t="n">
        <v>32.2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16</v>
      </c>
      <c r="D22" s="10" t="n">
        <v>13</v>
      </c>
      <c r="E22" s="10" t="n">
        <v>14</v>
      </c>
      <c r="F22" s="10" t="n">
        <v>19</v>
      </c>
      <c r="G22" s="10" t="n">
        <v>12</v>
      </c>
      <c r="H22" s="10" t="n">
        <v>9</v>
      </c>
      <c r="I22" s="10" t="n">
        <v>7</v>
      </c>
      <c r="J22" s="10" t="n">
        <v>9</v>
      </c>
      <c r="K22" s="10" t="n">
        <v>14</v>
      </c>
      <c r="L22" s="10" t="n">
        <v>18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8</v>
      </c>
      <c r="C23" s="10" t="n">
        <v>5</v>
      </c>
      <c r="D23" s="10" t="n">
        <v>4</v>
      </c>
      <c r="E23" s="10" t="n">
        <v>3</v>
      </c>
      <c r="F23" s="10" t="n">
        <v>9</v>
      </c>
      <c r="G23" s="10" t="n">
        <v>3</v>
      </c>
      <c r="H23" s="10" t="n">
        <v>1</v>
      </c>
      <c r="I23" s="10" t="n">
        <v>0</v>
      </c>
      <c r="J23" s="10" t="n">
        <v>1</v>
      </c>
      <c r="K23" s="10" t="n">
        <v>6</v>
      </c>
      <c r="L23" s="10" t="n">
        <v>9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5</v>
      </c>
      <c r="C25" s="10" t="n">
        <v>0</v>
      </c>
      <c r="D25" s="10" t="n">
        <v>2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5</v>
      </c>
      <c r="C26" s="10" t="n">
        <v>0</v>
      </c>
      <c r="D26" s="10" t="n">
        <v>2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1988.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6</v>
      </c>
      <c r="C6" s="8" t="n">
        <v>5.2</v>
      </c>
      <c r="D6" s="8" t="n">
        <v>6.5</v>
      </c>
      <c r="E6" s="8" t="n">
        <v>11.8</v>
      </c>
      <c r="F6" s="8" t="n">
        <v>16.6</v>
      </c>
      <c r="G6" s="8" t="n">
        <v>19.1</v>
      </c>
      <c r="H6" s="8" t="n">
        <v>25.4</v>
      </c>
      <c r="I6" s="8" t="n">
        <v>24.4</v>
      </c>
      <c r="J6" s="8" t="n">
        <v>18.5</v>
      </c>
      <c r="K6" s="8" t="n">
        <v>13.6</v>
      </c>
      <c r="L6" s="8" t="n">
        <v>3.2</v>
      </c>
      <c r="M6" s="8" t="n">
        <v>2.9</v>
      </c>
      <c r="N6" s="9">
        <f>AVERAGE(B6:M6)</f>
        <v/>
      </c>
    </row>
    <row r="7">
      <c r="A7" s="7" t="inlineStr">
        <is>
          <t>Srednja maksimalna</t>
        </is>
      </c>
      <c r="B7" s="8" t="n">
        <v>11</v>
      </c>
      <c r="C7" s="8" t="n">
        <v>10</v>
      </c>
      <c r="D7" s="8" t="n">
        <v>11.4</v>
      </c>
      <c r="E7" s="8" t="n">
        <v>17</v>
      </c>
      <c r="F7" s="8" t="n">
        <v>21.9</v>
      </c>
      <c r="G7" s="8" t="n">
        <v>24.2</v>
      </c>
      <c r="H7" s="8" t="n">
        <v>32</v>
      </c>
      <c r="I7" s="8" t="n">
        <v>30.8</v>
      </c>
      <c r="J7" s="8" t="n">
        <v>24.3</v>
      </c>
      <c r="K7" s="8" t="n">
        <v>19.6</v>
      </c>
      <c r="L7" s="8" t="n">
        <v>9.4</v>
      </c>
      <c r="M7" s="8" t="n">
        <v>8.699999999999999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1.6</v>
      </c>
      <c r="C8" s="8" t="n">
        <v>0.4</v>
      </c>
      <c r="D8" s="8" t="n">
        <v>1</v>
      </c>
      <c r="E8" s="8" t="n">
        <v>5.7</v>
      </c>
      <c r="F8" s="8" t="n">
        <v>10.4</v>
      </c>
      <c r="G8" s="8" t="n">
        <v>12.4</v>
      </c>
      <c r="H8" s="8" t="n">
        <v>17</v>
      </c>
      <c r="I8" s="8" t="n">
        <v>16.6</v>
      </c>
      <c r="J8" s="8" t="n">
        <v>12.3</v>
      </c>
      <c r="K8" s="8" t="n">
        <v>7.7</v>
      </c>
      <c r="L8" s="8" t="n">
        <v>-2.1</v>
      </c>
      <c r="M8" s="8" t="n">
        <v>-1.1</v>
      </c>
      <c r="N8" s="9">
        <f>AVERAGE(B8:M8)</f>
        <v/>
      </c>
    </row>
    <row r="9">
      <c r="A9" s="7" t="inlineStr">
        <is>
          <t>Apsolutni maksimum</t>
        </is>
      </c>
      <c r="B9" s="8" t="n">
        <v>13.4</v>
      </c>
      <c r="C9" s="8" t="n">
        <v>14.9</v>
      </c>
      <c r="D9" s="8" t="n">
        <v>16</v>
      </c>
      <c r="E9" s="8" t="n">
        <v>22.6</v>
      </c>
      <c r="F9" s="8" t="n">
        <v>27.6</v>
      </c>
      <c r="G9" s="8" t="n">
        <v>27.4</v>
      </c>
      <c r="H9" s="8" t="n">
        <v>36.8</v>
      </c>
      <c r="I9" s="8" t="n">
        <v>36.2</v>
      </c>
      <c r="J9" s="8" t="n">
        <v>31.3</v>
      </c>
      <c r="K9" s="8" t="n">
        <v>26.5</v>
      </c>
      <c r="L9" s="8" t="n">
        <v>13.4</v>
      </c>
      <c r="M9" s="8" t="n">
        <v>13.6</v>
      </c>
      <c r="N9" s="9">
        <f>MAX(B9:M9)</f>
        <v/>
      </c>
    </row>
    <row r="10">
      <c r="A10" s="7" t="inlineStr">
        <is>
          <t>Apsolutni minimum</t>
        </is>
      </c>
      <c r="B10" s="8" t="n">
        <v>-4.7</v>
      </c>
      <c r="C10" s="8" t="n">
        <v>-4.9</v>
      </c>
      <c r="D10" s="8" t="n">
        <v>-6.2</v>
      </c>
      <c r="E10" s="8" t="n">
        <v>0.8</v>
      </c>
      <c r="F10" s="8" t="n">
        <v>6.9</v>
      </c>
      <c r="G10" s="8" t="n">
        <v>8.6</v>
      </c>
      <c r="H10" s="8" t="n">
        <v>13.5</v>
      </c>
      <c r="I10" s="8" t="n">
        <v>11.2</v>
      </c>
      <c r="J10" s="8" t="n">
        <v>8.6</v>
      </c>
      <c r="K10" s="8" t="n">
        <v>-1.3</v>
      </c>
      <c r="L10" s="8" t="n">
        <v>-11.1</v>
      </c>
      <c r="M10" s="8" t="n">
        <v>-5.9</v>
      </c>
      <c r="N10" s="9">
        <f>MIN(B10:M10)</f>
        <v/>
      </c>
    </row>
    <row r="11">
      <c r="A11" s="7" t="inlineStr">
        <is>
          <t>Sr. br. mraznih dana</t>
        </is>
      </c>
      <c r="B11" s="10" t="n">
        <v>12</v>
      </c>
      <c r="C11" s="10" t="n">
        <v>15</v>
      </c>
      <c r="D11" s="10" t="n">
        <v>12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23</v>
      </c>
      <c r="M11" s="10" t="n">
        <v>24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22</v>
      </c>
      <c r="I12" s="10" t="n">
        <v>20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83.90000000000001</v>
      </c>
      <c r="C14" s="8" t="n">
        <v>77</v>
      </c>
      <c r="D14" s="8" t="n">
        <v>73.8</v>
      </c>
      <c r="E14" s="8" t="n">
        <v>75.3</v>
      </c>
      <c r="F14" s="8" t="n">
        <v>75.09999999999999</v>
      </c>
      <c r="G14" s="8" t="n">
        <v>72.59999999999999</v>
      </c>
      <c r="H14" s="8" t="n">
        <v>58</v>
      </c>
      <c r="I14" s="8" t="n">
        <v>55.8</v>
      </c>
      <c r="J14" s="8" t="n">
        <v>70.2</v>
      </c>
      <c r="K14" s="8" t="n">
        <v>76.2</v>
      </c>
      <c r="L14" s="8" t="n">
        <v>74</v>
      </c>
      <c r="M14" s="8" t="n">
        <v>76.40000000000001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184.5</v>
      </c>
      <c r="C16" s="8" t="n">
        <v>218.1</v>
      </c>
      <c r="D16" s="8" t="n">
        <v>258.6</v>
      </c>
      <c r="E16" s="8" t="n">
        <v>330.6</v>
      </c>
      <c r="F16" s="8" t="n">
        <v>385</v>
      </c>
      <c r="G16" s="8" t="n">
        <v>379</v>
      </c>
      <c r="H16" s="8" t="n">
        <v>431.8</v>
      </c>
      <c r="I16" s="8" t="n">
        <v>405.2</v>
      </c>
      <c r="J16" s="8" t="n">
        <v>317</v>
      </c>
      <c r="K16" s="8" t="n">
        <v>283.4</v>
      </c>
      <c r="L16" s="8" t="n">
        <v>223.9</v>
      </c>
      <c r="M16" s="8" t="n">
        <v>230.8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7</v>
      </c>
      <c r="D17" s="10" t="n">
        <v>3</v>
      </c>
      <c r="E17" s="10" t="n">
        <v>5</v>
      </c>
      <c r="F17" s="10" t="n">
        <v>6</v>
      </c>
      <c r="G17" s="10" t="n">
        <v>8</v>
      </c>
      <c r="H17" s="10" t="n">
        <v>27</v>
      </c>
      <c r="I17" s="10" t="n">
        <v>26</v>
      </c>
      <c r="J17" s="10" t="n">
        <v>16</v>
      </c>
      <c r="K17" s="10" t="n">
        <v>11</v>
      </c>
      <c r="L17" s="10" t="n">
        <v>12</v>
      </c>
      <c r="M17" s="10" t="n">
        <v>11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13</v>
      </c>
      <c r="D18" s="10" t="n">
        <v>12</v>
      </c>
      <c r="E18" s="10" t="n">
        <v>6</v>
      </c>
      <c r="F18" s="10" t="n">
        <v>5</v>
      </c>
      <c r="G18" s="10" t="n">
        <v>4</v>
      </c>
      <c r="H18" s="10" t="n">
        <v>0</v>
      </c>
      <c r="I18" s="10" t="n">
        <v>0</v>
      </c>
      <c r="J18" s="10" t="n">
        <v>4</v>
      </c>
      <c r="K18" s="10" t="n">
        <v>5</v>
      </c>
      <c r="L18" s="10" t="n">
        <v>6</v>
      </c>
      <c r="M18" s="10" t="n">
        <v>7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129.1</v>
      </c>
      <c r="C20" s="8" t="n">
        <v>165</v>
      </c>
      <c r="D20" s="8" t="n">
        <v>224.9</v>
      </c>
      <c r="E20" s="8" t="n">
        <v>158.8</v>
      </c>
      <c r="F20" s="8" t="n">
        <v>106.8</v>
      </c>
      <c r="G20" s="8" t="n">
        <v>77.7</v>
      </c>
      <c r="H20" s="8" t="n">
        <v>17.9</v>
      </c>
      <c r="I20" s="8" t="n">
        <v>47.4</v>
      </c>
      <c r="J20" s="8" t="n">
        <v>169.8</v>
      </c>
      <c r="K20" s="8" t="n">
        <v>102.6</v>
      </c>
      <c r="L20" s="8" t="n">
        <v>124.9</v>
      </c>
      <c r="M20" s="8" t="n">
        <v>89.90000000000001</v>
      </c>
      <c r="N20" s="9">
        <f>SUM(B20:M20)</f>
        <v/>
      </c>
    </row>
    <row r="21">
      <c r="A21" s="7" t="inlineStr">
        <is>
          <t>Max. dnevna suma</t>
        </is>
      </c>
      <c r="B21" s="8" t="n">
        <v>33.1</v>
      </c>
      <c r="C21" s="8" t="n">
        <v>33.4</v>
      </c>
      <c r="D21" s="8" t="n">
        <v>40.6</v>
      </c>
      <c r="E21" s="8" t="n">
        <v>27.8</v>
      </c>
      <c r="F21" s="8" t="n">
        <v>28.3</v>
      </c>
      <c r="G21" s="8" t="n">
        <v>21.2</v>
      </c>
      <c r="H21" s="8" t="n">
        <v>15.1</v>
      </c>
      <c r="I21" s="8" t="n">
        <v>20</v>
      </c>
      <c r="J21" s="8" t="n">
        <v>94.09999999999999</v>
      </c>
      <c r="K21" s="8" t="n">
        <v>47.8</v>
      </c>
      <c r="L21" s="8" t="n">
        <v>30.4</v>
      </c>
      <c r="M21" s="8" t="n">
        <v>45.7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14</v>
      </c>
      <c r="C22" s="10" t="n">
        <v>21</v>
      </c>
      <c r="D22" s="10" t="n">
        <v>16</v>
      </c>
      <c r="E22" s="10" t="n">
        <v>20</v>
      </c>
      <c r="F22" s="10" t="n">
        <v>16</v>
      </c>
      <c r="G22" s="10" t="n">
        <v>19</v>
      </c>
      <c r="H22" s="10" t="n">
        <v>5</v>
      </c>
      <c r="I22" s="10" t="n">
        <v>7</v>
      </c>
      <c r="J22" s="10" t="n">
        <v>9</v>
      </c>
      <c r="K22" s="10" t="n">
        <v>10</v>
      </c>
      <c r="L22" s="10" t="n">
        <v>10</v>
      </c>
      <c r="M22" s="10" t="n">
        <v>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6</v>
      </c>
      <c r="D23" s="10" t="n">
        <v>8</v>
      </c>
      <c r="E23" s="10" t="n">
        <v>7</v>
      </c>
      <c r="F23" s="10" t="n">
        <v>3</v>
      </c>
      <c r="G23" s="10" t="n">
        <v>3</v>
      </c>
      <c r="H23" s="10" t="n">
        <v>1</v>
      </c>
      <c r="I23" s="10" t="n">
        <v>2</v>
      </c>
      <c r="J23" s="10" t="n">
        <v>4</v>
      </c>
      <c r="K23" s="10" t="n">
        <v>3</v>
      </c>
      <c r="L23" s="10" t="n">
        <v>6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3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3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3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3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1989.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1.6</v>
      </c>
      <c r="C6" s="8" t="n">
        <v>5.3</v>
      </c>
      <c r="D6" s="8" t="n">
        <v>10</v>
      </c>
      <c r="E6" s="8" t="n">
        <v>12.6</v>
      </c>
      <c r="F6" s="8" t="n">
        <v>15.2</v>
      </c>
      <c r="G6" s="8" t="n">
        <v>18.5</v>
      </c>
      <c r="H6" s="8" t="n">
        <v>22.7</v>
      </c>
      <c r="I6" s="8" t="n">
        <v>22.7</v>
      </c>
      <c r="J6" s="8" t="n">
        <v>18</v>
      </c>
      <c r="K6" s="8" t="n">
        <v>12.1</v>
      </c>
      <c r="L6" s="8" t="n">
        <v>6.3</v>
      </c>
      <c r="M6" s="8" t="n">
        <v>4.2</v>
      </c>
      <c r="N6" s="9">
        <f>AVERAGE(B6:M6)</f>
        <v/>
      </c>
    </row>
    <row r="7">
      <c r="A7" s="7" t="inlineStr">
        <is>
          <t>Srednja maksimalna</t>
        </is>
      </c>
      <c r="B7" s="8" t="n">
        <v>9.5</v>
      </c>
      <c r="C7" s="8" t="n">
        <v>12</v>
      </c>
      <c r="D7" s="8" t="n">
        <v>16.3</v>
      </c>
      <c r="E7" s="8" t="n">
        <v>17.9</v>
      </c>
      <c r="F7" s="8" t="n">
        <v>20.9</v>
      </c>
      <c r="G7" s="8" t="n">
        <v>23.7</v>
      </c>
      <c r="H7" s="8" t="n">
        <v>28.5</v>
      </c>
      <c r="I7" s="8" t="n">
        <v>28.6</v>
      </c>
      <c r="J7" s="8" t="n">
        <v>23.7</v>
      </c>
      <c r="K7" s="8" t="n">
        <v>18.6</v>
      </c>
      <c r="L7" s="8" t="n">
        <v>12.1</v>
      </c>
      <c r="M7" s="8" t="n">
        <v>9.5</v>
      </c>
      <c r="N7" s="9">
        <f>AVERAGE(B7:M7)</f>
        <v/>
      </c>
    </row>
    <row r="8">
      <c r="A8" s="7" t="inlineStr">
        <is>
          <t>Srednja minimalna</t>
        </is>
      </c>
      <c r="B8" s="8" t="n">
        <v>-3.4</v>
      </c>
      <c r="C8" s="8" t="n">
        <v>-0.6</v>
      </c>
      <c r="D8" s="8" t="n">
        <v>3.2</v>
      </c>
      <c r="E8" s="8" t="n">
        <v>6.7</v>
      </c>
      <c r="F8" s="8" t="n">
        <v>8</v>
      </c>
      <c r="G8" s="8" t="n">
        <v>11.8</v>
      </c>
      <c r="H8" s="8" t="n">
        <v>15.6</v>
      </c>
      <c r="I8" s="8" t="n">
        <v>15.9</v>
      </c>
      <c r="J8" s="8" t="n">
        <v>12.3</v>
      </c>
      <c r="K8" s="8" t="n">
        <v>6.2</v>
      </c>
      <c r="L8" s="8" t="n">
        <v>1.4</v>
      </c>
      <c r="M8" s="8" t="n">
        <v>0.1</v>
      </c>
      <c r="N8" s="9">
        <f>AVERAGE(B8:M8)</f>
        <v/>
      </c>
    </row>
    <row r="9">
      <c r="A9" s="7" t="inlineStr">
        <is>
          <t>Apsolutni maksimum</t>
        </is>
      </c>
      <c r="B9" s="8" t="n">
        <v>13.4</v>
      </c>
      <c r="C9" s="8" t="n">
        <v>15.3</v>
      </c>
      <c r="D9" s="8" t="n">
        <v>20.9</v>
      </c>
      <c r="E9" s="8" t="n">
        <v>22.6</v>
      </c>
      <c r="F9" s="8" t="n">
        <v>23.2</v>
      </c>
      <c r="G9" s="8" t="n">
        <v>27.3</v>
      </c>
      <c r="H9" s="8" t="n">
        <v>33.8</v>
      </c>
      <c r="I9" s="8" t="n">
        <v>33.8</v>
      </c>
      <c r="J9" s="8" t="n">
        <v>30.2</v>
      </c>
      <c r="K9" s="8" t="n">
        <v>23.7</v>
      </c>
      <c r="L9" s="8" t="n">
        <v>19.4</v>
      </c>
      <c r="M9" s="8" t="n">
        <v>16.9</v>
      </c>
      <c r="N9" s="9">
        <f>MAX(B9:M9)</f>
        <v/>
      </c>
    </row>
    <row r="10">
      <c r="A10" s="7" t="inlineStr">
        <is>
          <t>Apsolutni minimum</t>
        </is>
      </c>
      <c r="B10" s="8" t="n">
        <v>-5.9</v>
      </c>
      <c r="C10" s="8" t="n">
        <v>-3.9</v>
      </c>
      <c r="D10" s="8" t="n">
        <v>-1.4</v>
      </c>
      <c r="E10" s="8" t="n">
        <v>1.9</v>
      </c>
      <c r="F10" s="8" t="n">
        <v>3</v>
      </c>
      <c r="G10" s="8" t="n">
        <v>7.9</v>
      </c>
      <c r="H10" s="8" t="n">
        <v>10.5</v>
      </c>
      <c r="I10" s="8" t="n">
        <v>9.5</v>
      </c>
      <c r="J10" s="8" t="n">
        <v>9</v>
      </c>
      <c r="K10" s="8" t="n">
        <v>1.1</v>
      </c>
      <c r="L10" s="8" t="n">
        <v>-6.3</v>
      </c>
      <c r="M10" s="8" t="n">
        <v>-5.7</v>
      </c>
      <c r="N10" s="9">
        <f>MIN(B10:M10)</f>
        <v/>
      </c>
    </row>
    <row r="11">
      <c r="A11" s="7" t="inlineStr">
        <is>
          <t>Sr. br. mraznih dana</t>
        </is>
      </c>
      <c r="B11" s="10" t="n">
        <v>30</v>
      </c>
      <c r="C11" s="10" t="n">
        <v>22</v>
      </c>
      <c r="D11" s="10" t="n">
        <v>5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12</v>
      </c>
      <c r="M11" s="10" t="n">
        <v>20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10</v>
      </c>
      <c r="I12" s="10" t="n">
        <v>15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77.90000000000001</v>
      </c>
      <c r="C14" s="8" t="n">
        <v>79.8</v>
      </c>
      <c r="D14" s="8" t="n">
        <v>72.5</v>
      </c>
      <c r="E14" s="8" t="n">
        <v>73.09999999999999</v>
      </c>
      <c r="F14" s="8" t="n">
        <v>67.5</v>
      </c>
      <c r="G14" s="8" t="n">
        <v>69.5</v>
      </c>
      <c r="H14" s="8" t="n">
        <v>66</v>
      </c>
      <c r="I14" s="8" t="n">
        <v>63</v>
      </c>
      <c r="J14" s="8" t="n">
        <v>75.40000000000001</v>
      </c>
      <c r="K14" s="8" t="n">
        <v>75.3</v>
      </c>
      <c r="L14" s="8" t="n">
        <v>77.2</v>
      </c>
      <c r="M14" s="8" t="n">
        <v>77.90000000000001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249.2</v>
      </c>
      <c r="C16" s="8" t="n">
        <v>239</v>
      </c>
      <c r="D16" s="8" t="n">
        <v>318.6</v>
      </c>
      <c r="E16" s="8" t="n">
        <v>313.6</v>
      </c>
      <c r="F16" s="8" t="n">
        <v>398.9</v>
      </c>
      <c r="G16" s="8" t="n">
        <v>383.5</v>
      </c>
      <c r="H16" s="8" t="n">
        <v>402.3</v>
      </c>
      <c r="I16" s="8" t="n">
        <v>395.7</v>
      </c>
      <c r="J16" s="8" t="n">
        <v>303.7</v>
      </c>
      <c r="K16" s="8" t="n">
        <v>276.1</v>
      </c>
      <c r="L16" s="8" t="n">
        <v>226</v>
      </c>
      <c r="M16" s="8" t="n">
        <v>215.4</v>
      </c>
      <c r="N16" s="9">
        <f>SUM(B16:M16)</f>
        <v/>
      </c>
    </row>
    <row r="17">
      <c r="A17" s="7" t="inlineStr">
        <is>
          <t>Broj vedrih dana</t>
        </is>
      </c>
      <c r="B17" s="10" t="n">
        <v>22</v>
      </c>
      <c r="C17" s="10" t="n">
        <v>12</v>
      </c>
      <c r="D17" s="10" t="n">
        <v>11</v>
      </c>
      <c r="E17" s="10" t="n">
        <v>2</v>
      </c>
      <c r="F17" s="10" t="n">
        <v>5</v>
      </c>
      <c r="G17" s="10" t="n">
        <v>8</v>
      </c>
      <c r="H17" s="10" t="n">
        <v>11</v>
      </c>
      <c r="I17" s="10" t="n">
        <v>18</v>
      </c>
      <c r="J17" s="10" t="n">
        <v>7</v>
      </c>
      <c r="K17" s="10" t="n">
        <v>16</v>
      </c>
      <c r="L17" s="10" t="n">
        <v>12</v>
      </c>
      <c r="M17" s="10" t="n">
        <v>10</v>
      </c>
      <c r="N17" s="11">
        <f>SUM(B17:M17)</f>
        <v/>
      </c>
    </row>
    <row r="18">
      <c r="A18" s="7" t="inlineStr">
        <is>
          <t>Broj oblačnih dana</t>
        </is>
      </c>
      <c r="B18" s="10" t="n">
        <v>4</v>
      </c>
      <c r="C18" s="10" t="n">
        <v>6</v>
      </c>
      <c r="D18" s="10" t="n">
        <v>3</v>
      </c>
      <c r="E18" s="10" t="n">
        <v>11</v>
      </c>
      <c r="F18" s="10" t="n">
        <v>4</v>
      </c>
      <c r="G18" s="10" t="n">
        <v>5</v>
      </c>
      <c r="H18" s="10" t="n">
        <v>1</v>
      </c>
      <c r="I18" s="10" t="n">
        <v>0</v>
      </c>
      <c r="J18" s="10" t="n">
        <v>6</v>
      </c>
      <c r="K18" s="10" t="n">
        <v>5</v>
      </c>
      <c r="L18" s="10" t="n">
        <v>7</v>
      </c>
      <c r="M18" s="10" t="n">
        <v>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3.8</v>
      </c>
      <c r="C20" s="8" t="n">
        <v>129.3</v>
      </c>
      <c r="D20" s="8" t="n">
        <v>92.5</v>
      </c>
      <c r="E20" s="8" t="n">
        <v>134.7</v>
      </c>
      <c r="F20" s="8" t="n">
        <v>50.3</v>
      </c>
      <c r="G20" s="8" t="n">
        <v>51.3</v>
      </c>
      <c r="H20" s="8" t="n">
        <v>91.3</v>
      </c>
      <c r="I20" s="8" t="n">
        <v>60</v>
      </c>
      <c r="J20" s="8" t="n">
        <v>102.6</v>
      </c>
      <c r="K20" s="8" t="n">
        <v>99.7</v>
      </c>
      <c r="L20" s="8" t="n">
        <v>113</v>
      </c>
      <c r="M20" s="8" t="n">
        <v>24.7</v>
      </c>
      <c r="N20" s="9">
        <f>SUM(B20:M20)</f>
        <v/>
      </c>
    </row>
    <row r="21">
      <c r="A21" s="7" t="inlineStr">
        <is>
          <t>Max. dnevna suma</t>
        </is>
      </c>
      <c r="B21" s="8" t="n">
        <v>2</v>
      </c>
      <c r="C21" s="8" t="n">
        <v>50.3</v>
      </c>
      <c r="D21" s="8" t="n">
        <v>24</v>
      </c>
      <c r="E21" s="8" t="n">
        <v>32.7</v>
      </c>
      <c r="F21" s="8" t="n">
        <v>12.9</v>
      </c>
      <c r="G21" s="8" t="n">
        <v>16.1</v>
      </c>
      <c r="H21" s="8" t="n">
        <v>28.9</v>
      </c>
      <c r="I21" s="8" t="n">
        <v>20.8</v>
      </c>
      <c r="J21" s="8" t="n">
        <v>28.4</v>
      </c>
      <c r="K21" s="8" t="n">
        <v>42.5</v>
      </c>
      <c r="L21" s="8" t="n">
        <v>32.1</v>
      </c>
      <c r="M21" s="8" t="n">
        <v>5.7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3</v>
      </c>
      <c r="C22" s="10" t="n">
        <v>9</v>
      </c>
      <c r="D22" s="10" t="n">
        <v>6</v>
      </c>
      <c r="E22" s="10" t="n">
        <v>19</v>
      </c>
      <c r="F22" s="10" t="n">
        <v>13</v>
      </c>
      <c r="G22" s="10" t="n">
        <v>22</v>
      </c>
      <c r="H22" s="10" t="n">
        <v>16</v>
      </c>
      <c r="I22" s="10" t="n">
        <v>10</v>
      </c>
      <c r="J22" s="10" t="n">
        <v>13</v>
      </c>
      <c r="K22" s="10" t="n">
        <v>8</v>
      </c>
      <c r="L22" s="10" t="n">
        <v>11</v>
      </c>
      <c r="M22" s="10" t="n">
        <v>10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3</v>
      </c>
      <c r="D23" s="10" t="n">
        <v>6</v>
      </c>
      <c r="E23" s="10" t="n">
        <v>3</v>
      </c>
      <c r="F23" s="10" t="n">
        <v>2</v>
      </c>
      <c r="G23" s="10" t="n">
        <v>1</v>
      </c>
      <c r="H23" s="10" t="n">
        <v>3</v>
      </c>
      <c r="I23" s="10" t="n">
        <v>2</v>
      </c>
      <c r="J23" s="10" t="n">
        <v>4</v>
      </c>
      <c r="K23" s="10" t="n">
        <v>3</v>
      </c>
      <c r="L23" s="10" t="n">
        <v>4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1990.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2.6</v>
      </c>
      <c r="C6" s="8" t="n">
        <v>6.6</v>
      </c>
      <c r="D6" s="8" t="n">
        <v>10.2</v>
      </c>
      <c r="E6" s="8" t="n">
        <v>11</v>
      </c>
      <c r="F6" s="8" t="n">
        <v>16.4</v>
      </c>
      <c r="G6" s="8" t="n">
        <v>19.7</v>
      </c>
      <c r="H6" s="8" t="n">
        <v>23.4</v>
      </c>
      <c r="I6" s="8" t="n">
        <v>23</v>
      </c>
      <c r="J6" s="8" t="n">
        <v>17.4</v>
      </c>
      <c r="K6" s="8" t="n">
        <v>14.7</v>
      </c>
      <c r="L6" s="8" t="n">
        <v>9.4</v>
      </c>
      <c r="M6" s="8" t="n">
        <v>3.1</v>
      </c>
      <c r="N6" s="9">
        <f>AVERAGE(B6:M6)</f>
        <v/>
      </c>
    </row>
    <row r="7">
      <c r="A7" s="7" t="inlineStr">
        <is>
          <t>Srednja maksimalna</t>
        </is>
      </c>
      <c r="B7" s="8" t="n">
        <v>9.699999999999999</v>
      </c>
      <c r="C7" s="8" t="n">
        <v>13.6</v>
      </c>
      <c r="D7" s="8" t="n">
        <v>16.9</v>
      </c>
      <c r="E7" s="8" t="n">
        <v>15.9</v>
      </c>
      <c r="F7" s="8" t="n">
        <v>21.7</v>
      </c>
      <c r="G7" s="8" t="n">
        <v>24.9</v>
      </c>
      <c r="H7" s="8" t="n">
        <v>29.5</v>
      </c>
      <c r="I7" s="8" t="n">
        <v>29.4</v>
      </c>
      <c r="J7" s="8" t="n">
        <v>23</v>
      </c>
      <c r="K7" s="8" t="n">
        <v>19.9</v>
      </c>
      <c r="L7" s="8" t="n">
        <v>13.7</v>
      </c>
      <c r="M7" s="8" t="n">
        <v>7.6</v>
      </c>
      <c r="N7" s="9">
        <f>AVERAGE(B7:M7)</f>
        <v/>
      </c>
    </row>
    <row r="8">
      <c r="A8" s="7" t="inlineStr">
        <is>
          <t>Srednja minimalna</t>
        </is>
      </c>
      <c r="B8" s="8" t="n">
        <v>-2.3</v>
      </c>
      <c r="C8" s="8" t="n">
        <v>0.3</v>
      </c>
      <c r="D8" s="8" t="n">
        <v>3.2</v>
      </c>
      <c r="E8" s="8" t="n">
        <v>5.3</v>
      </c>
      <c r="F8" s="8" t="n">
        <v>10.1</v>
      </c>
      <c r="G8" s="8" t="n">
        <v>13</v>
      </c>
      <c r="H8" s="8" t="n">
        <v>15.7</v>
      </c>
      <c r="I8" s="8" t="n">
        <v>15.4</v>
      </c>
      <c r="J8" s="8" t="n">
        <v>11.7</v>
      </c>
      <c r="K8" s="8" t="n">
        <v>9.5</v>
      </c>
      <c r="L8" s="8" t="n">
        <v>5.5</v>
      </c>
      <c r="M8" s="8" t="n">
        <v>-0.4</v>
      </c>
      <c r="N8" s="9">
        <f>AVERAGE(B8:M8)</f>
        <v/>
      </c>
    </row>
    <row r="9">
      <c r="A9" s="7" t="inlineStr">
        <is>
          <t>Apsolutni maksimum</t>
        </is>
      </c>
      <c r="B9" s="8" t="n">
        <v>15.1</v>
      </c>
      <c r="C9" s="8" t="n">
        <v>19.3</v>
      </c>
      <c r="D9" s="8" t="n">
        <v>23.2</v>
      </c>
      <c r="E9" s="8" t="n">
        <v>20</v>
      </c>
      <c r="F9" s="8" t="n">
        <v>26</v>
      </c>
      <c r="G9" s="8" t="n">
        <v>32.1</v>
      </c>
      <c r="H9" s="8" t="n">
        <v>32.5</v>
      </c>
      <c r="I9" s="8" t="n">
        <v>33.9</v>
      </c>
      <c r="J9" s="8" t="n">
        <v>30.2</v>
      </c>
      <c r="K9" s="8" t="n">
        <v>27.2</v>
      </c>
      <c r="L9" s="8" t="n">
        <v>19.9</v>
      </c>
      <c r="M9" s="8" t="n">
        <v>12.7</v>
      </c>
      <c r="N9" s="9">
        <f>MAX(B9:M9)</f>
        <v/>
      </c>
    </row>
    <row r="10">
      <c r="A10" s="7" t="inlineStr">
        <is>
          <t>Apsolutni minimum</t>
        </is>
      </c>
      <c r="B10" s="8" t="n">
        <v>-7.1</v>
      </c>
      <c r="C10" s="8" t="n">
        <v>-3.6</v>
      </c>
      <c r="D10" s="8" t="n">
        <v>-3.3</v>
      </c>
      <c r="E10" s="8" t="n">
        <v>1</v>
      </c>
      <c r="F10" s="8" t="n">
        <v>3.1</v>
      </c>
      <c r="G10" s="8" t="n">
        <v>6.1</v>
      </c>
      <c r="H10" s="8" t="n">
        <v>12.3</v>
      </c>
      <c r="I10" s="8" t="n">
        <v>12.2</v>
      </c>
      <c r="J10" s="8" t="n">
        <v>5.3</v>
      </c>
      <c r="K10" s="8" t="n">
        <v>0.8</v>
      </c>
      <c r="L10" s="8" t="n">
        <v>-2.9</v>
      </c>
      <c r="M10" s="8" t="n">
        <v>-4.8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13</v>
      </c>
      <c r="D11" s="10" t="n">
        <v>5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19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4</v>
      </c>
      <c r="H12" s="10" t="n">
        <v>16</v>
      </c>
      <c r="I12" s="10" t="n">
        <v>16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75.59999999999999</v>
      </c>
      <c r="C14" s="8" t="n">
        <v>75.09999999999999</v>
      </c>
      <c r="D14" s="8" t="n">
        <v>71.40000000000001</v>
      </c>
      <c r="E14" s="8" t="n">
        <v>75.3</v>
      </c>
      <c r="F14" s="8" t="n">
        <v>71.90000000000001</v>
      </c>
      <c r="G14" s="8" t="n">
        <v>67.8</v>
      </c>
      <c r="H14" s="8" t="n">
        <v>56</v>
      </c>
      <c r="I14" s="8" t="n">
        <v>55</v>
      </c>
      <c r="J14" s="8" t="n">
        <v>66.7</v>
      </c>
      <c r="K14" s="8" t="n">
        <v>79.3</v>
      </c>
      <c r="L14" s="8" t="n">
        <v>84.40000000000001</v>
      </c>
      <c r="M14" s="8" t="n">
        <v>77.8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245.6</v>
      </c>
      <c r="C16" s="8" t="n">
        <v>260.3</v>
      </c>
      <c r="D16" s="8" t="n">
        <v>325.2</v>
      </c>
      <c r="E16" s="8" t="n">
        <v>305.4</v>
      </c>
      <c r="F16" s="8" t="n">
        <v>377.4</v>
      </c>
      <c r="G16" s="8" t="n">
        <v>404.2</v>
      </c>
      <c r="H16" s="8" t="n">
        <v>421.7</v>
      </c>
      <c r="I16" s="8" t="n">
        <v>399.6</v>
      </c>
      <c r="J16" s="8" t="n">
        <v>321.2</v>
      </c>
      <c r="K16" s="8" t="n">
        <v>248.2</v>
      </c>
      <c r="L16" s="8" t="n">
        <v>204.4</v>
      </c>
      <c r="M16" s="8" t="n">
        <v>170.7</v>
      </c>
      <c r="N16" s="9">
        <f>SUM(B16:M16)</f>
        <v/>
      </c>
    </row>
    <row r="17">
      <c r="A17" s="7" t="inlineStr">
        <is>
          <t>Broj vedrih dana</t>
        </is>
      </c>
      <c r="B17" s="10" t="n">
        <v>18</v>
      </c>
      <c r="C17" s="10" t="n">
        <v>12</v>
      </c>
      <c r="D17" s="10" t="n">
        <v>12</v>
      </c>
      <c r="E17" s="10" t="n">
        <v>8</v>
      </c>
      <c r="F17" s="10" t="n">
        <v>4</v>
      </c>
      <c r="G17" s="10" t="n">
        <v>15</v>
      </c>
      <c r="H17" s="10" t="n">
        <v>21</v>
      </c>
      <c r="I17" s="10" t="n">
        <v>22</v>
      </c>
      <c r="J17" s="10" t="n">
        <v>9</v>
      </c>
      <c r="K17" s="10" t="n">
        <v>9</v>
      </c>
      <c r="L17" s="10" t="n">
        <v>6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4</v>
      </c>
      <c r="C18" s="10" t="n">
        <v>2</v>
      </c>
      <c r="D18" s="10" t="n">
        <v>5</v>
      </c>
      <c r="E18" s="10" t="n">
        <v>8</v>
      </c>
      <c r="F18" s="10" t="n">
        <v>6</v>
      </c>
      <c r="G18" s="10" t="n">
        <v>2</v>
      </c>
      <c r="H18" s="10" t="n">
        <v>1</v>
      </c>
      <c r="I18" s="10" t="n">
        <v>1</v>
      </c>
      <c r="J18" s="10" t="n">
        <v>2</v>
      </c>
      <c r="K18" s="10" t="n">
        <v>10</v>
      </c>
      <c r="L18" s="10" t="n">
        <v>9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52.2</v>
      </c>
      <c r="C20" s="8" t="n">
        <v>46.7</v>
      </c>
      <c r="D20" s="8" t="n">
        <v>78.5</v>
      </c>
      <c r="E20" s="8" t="n">
        <v>205.7</v>
      </c>
      <c r="F20" s="8" t="n">
        <v>55.9</v>
      </c>
      <c r="G20" s="8" t="n">
        <v>28.8</v>
      </c>
      <c r="H20" s="8" t="n">
        <v>20.3</v>
      </c>
      <c r="I20" s="8" t="n">
        <v>23.9</v>
      </c>
      <c r="J20" s="8" t="n">
        <v>66.90000000000001</v>
      </c>
      <c r="K20" s="8" t="n">
        <v>247.4</v>
      </c>
      <c r="L20" s="8" t="n">
        <v>230.3</v>
      </c>
      <c r="M20" s="8" t="n">
        <v>155.1</v>
      </c>
      <c r="N20" s="9">
        <f>SUM(B20:M20)</f>
        <v/>
      </c>
    </row>
    <row r="21">
      <c r="A21" s="7" t="inlineStr">
        <is>
          <t>Max. dnevna suma</t>
        </is>
      </c>
      <c r="B21" s="8" t="n">
        <v>30.8</v>
      </c>
      <c r="C21" s="8" t="n">
        <v>26.2</v>
      </c>
      <c r="D21" s="8" t="n">
        <v>22.9</v>
      </c>
      <c r="E21" s="8" t="n">
        <v>29.6</v>
      </c>
      <c r="F21" s="8" t="n">
        <v>9.5</v>
      </c>
      <c r="G21" s="8" t="n">
        <v>7.6</v>
      </c>
      <c r="H21" s="8" t="n">
        <v>13.3</v>
      </c>
      <c r="I21" s="8" t="n">
        <v>9</v>
      </c>
      <c r="J21" s="8" t="n">
        <v>17.1</v>
      </c>
      <c r="K21" s="8" t="n">
        <v>79</v>
      </c>
      <c r="L21" s="8" t="n">
        <v>43.5</v>
      </c>
      <c r="M21" s="8" t="n">
        <v>57.2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8</v>
      </c>
      <c r="D22" s="10" t="n">
        <v>10</v>
      </c>
      <c r="E22" s="10" t="n">
        <v>20</v>
      </c>
      <c r="F22" s="10" t="n">
        <v>22</v>
      </c>
      <c r="G22" s="10" t="n">
        <v>12</v>
      </c>
      <c r="H22" s="10" t="n">
        <v>8</v>
      </c>
      <c r="I22" s="10" t="n">
        <v>11</v>
      </c>
      <c r="J22" s="10" t="n">
        <v>15</v>
      </c>
      <c r="K22" s="10" t="n">
        <v>15</v>
      </c>
      <c r="L22" s="10" t="n">
        <v>20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1</v>
      </c>
      <c r="D23" s="10" t="n">
        <v>3</v>
      </c>
      <c r="E23" s="10" t="n">
        <v>9</v>
      </c>
      <c r="F23" s="10" t="n">
        <v>0</v>
      </c>
      <c r="G23" s="10" t="n">
        <v>0</v>
      </c>
      <c r="H23" s="10" t="n">
        <v>1</v>
      </c>
      <c r="I23" s="10" t="n">
        <v>0</v>
      </c>
      <c r="J23" s="10" t="n">
        <v>2</v>
      </c>
      <c r="K23" s="10" t="n">
        <v>6</v>
      </c>
      <c r="L23" s="10" t="n">
        <v>9</v>
      </c>
      <c r="M23" s="10" t="n">
        <v>6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4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1991.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2.6</v>
      </c>
      <c r="C6" s="8" t="n">
        <v>2.8</v>
      </c>
      <c r="D6" s="8" t="n">
        <v>10</v>
      </c>
      <c r="E6" s="8" t="n">
        <v>9.9</v>
      </c>
      <c r="F6" s="8" t="n">
        <v>12.7</v>
      </c>
      <c r="G6" s="8" t="n">
        <v>20.1</v>
      </c>
      <c r="H6" s="8" t="n">
        <v>22.8</v>
      </c>
      <c r="I6" s="8" t="n">
        <v>22.8</v>
      </c>
      <c r="J6" s="8" t="n">
        <v>19.8</v>
      </c>
      <c r="K6" s="8" t="n">
        <v>12.5</v>
      </c>
      <c r="L6" s="8" t="n">
        <v>8.4</v>
      </c>
      <c r="M6" s="8" t="n">
        <v>0.2</v>
      </c>
      <c r="N6" s="9">
        <f>AVERAGE(B6:M6)</f>
        <v/>
      </c>
    </row>
    <row r="7">
      <c r="A7" s="7" t="inlineStr">
        <is>
          <t>Srednja maksimalna</t>
        </is>
      </c>
      <c r="B7" s="8" t="n">
        <v>8.4</v>
      </c>
      <c r="C7" s="8" t="n">
        <v>8.800000000000001</v>
      </c>
      <c r="D7" s="8" t="n">
        <v>15.6</v>
      </c>
      <c r="E7" s="8" t="n">
        <v>15.5</v>
      </c>
      <c r="F7" s="8" t="n">
        <v>17.5</v>
      </c>
      <c r="G7" s="8" t="n">
        <v>25.8</v>
      </c>
      <c r="H7" s="8" t="n">
        <v>28.3</v>
      </c>
      <c r="I7" s="8" t="n">
        <v>29</v>
      </c>
      <c r="J7" s="8" t="n">
        <v>26</v>
      </c>
      <c r="K7" s="8" t="n">
        <v>17.5</v>
      </c>
      <c r="L7" s="8" t="n">
        <v>13.2</v>
      </c>
      <c r="M7" s="8" t="n">
        <v>5.9</v>
      </c>
      <c r="N7" s="9">
        <f>AVERAGE(B7:M7)</f>
        <v/>
      </c>
    </row>
    <row r="8">
      <c r="A8" s="7" t="inlineStr">
        <is>
          <t>Srednja minimalna</t>
        </is>
      </c>
      <c r="B8" s="8" t="n">
        <v>-1.6</v>
      </c>
      <c r="C8" s="8" t="n">
        <v>-2.8</v>
      </c>
      <c r="D8" s="8" t="n">
        <v>4.2</v>
      </c>
      <c r="E8" s="8" t="n">
        <v>3.7</v>
      </c>
      <c r="F8" s="8" t="n">
        <v>7</v>
      </c>
      <c r="G8" s="8" t="n">
        <v>12.8</v>
      </c>
      <c r="H8" s="8" t="n">
        <v>16.2</v>
      </c>
      <c r="I8" s="8" t="n">
        <v>15.7</v>
      </c>
      <c r="J8" s="8" t="n">
        <v>13</v>
      </c>
      <c r="K8" s="8" t="n">
        <v>7.8</v>
      </c>
      <c r="L8" s="8" t="n">
        <v>4.1</v>
      </c>
      <c r="M8" s="8" t="n">
        <v>-3.8</v>
      </c>
      <c r="N8" s="9">
        <f>AVERAGE(B8:M8)</f>
        <v/>
      </c>
    </row>
    <row r="9">
      <c r="A9" s="7" t="inlineStr">
        <is>
          <t>Apsolutni maksimum</t>
        </is>
      </c>
      <c r="B9" s="8" t="n">
        <v>13</v>
      </c>
      <c r="C9" s="8" t="n">
        <v>16</v>
      </c>
      <c r="D9" s="8" t="n">
        <v>22</v>
      </c>
      <c r="E9" s="8" t="n">
        <v>20.1</v>
      </c>
      <c r="F9" s="8" t="n">
        <v>23.9</v>
      </c>
      <c r="G9" s="8" t="n">
        <v>32.8</v>
      </c>
      <c r="H9" s="8" t="n">
        <v>33.5</v>
      </c>
      <c r="I9" s="8" t="n">
        <v>33</v>
      </c>
      <c r="J9" s="8" t="n">
        <v>29.2</v>
      </c>
      <c r="K9" s="8" t="n">
        <v>26</v>
      </c>
      <c r="L9" s="8" t="n">
        <v>15.5</v>
      </c>
      <c r="M9" s="8" t="n">
        <v>10.8</v>
      </c>
      <c r="N9" s="9">
        <f>MAX(B9:M9)</f>
        <v/>
      </c>
    </row>
    <row r="10">
      <c r="A10" s="7" t="inlineStr">
        <is>
          <t>Apsolutni minimum</t>
        </is>
      </c>
      <c r="B10" s="8" t="n">
        <v>-5.8</v>
      </c>
      <c r="C10" s="8" t="n">
        <v>-8.9</v>
      </c>
      <c r="D10" s="8" t="n">
        <v>-1.8</v>
      </c>
      <c r="E10" s="8" t="n">
        <v>-0.8</v>
      </c>
      <c r="F10" s="8" t="n">
        <v>3.4</v>
      </c>
      <c r="G10" s="8" t="n">
        <v>7</v>
      </c>
      <c r="H10" s="8" t="n">
        <v>11.1</v>
      </c>
      <c r="I10" s="8" t="n">
        <v>11.4</v>
      </c>
      <c r="J10" s="8" t="n">
        <v>9.4</v>
      </c>
      <c r="K10" s="8" t="n">
        <v>-2.9</v>
      </c>
      <c r="L10" s="8" t="n">
        <v>-2.9</v>
      </c>
      <c r="M10" s="8" t="n">
        <v>-7.1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23</v>
      </c>
      <c r="D11" s="10" t="n">
        <v>2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5</v>
      </c>
      <c r="L11" s="10" t="n">
        <v>5</v>
      </c>
      <c r="M11" s="10" t="n">
        <v>31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4</v>
      </c>
      <c r="H12" s="10" t="n">
        <v>14</v>
      </c>
      <c r="I12" s="10" t="n">
        <v>12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72.2</v>
      </c>
      <c r="C14" s="8" t="n">
        <v>72</v>
      </c>
      <c r="D14" s="8" t="n">
        <v>75.7</v>
      </c>
      <c r="E14" s="8" t="n">
        <v>73.5</v>
      </c>
      <c r="F14" s="8" t="n">
        <v>72.8</v>
      </c>
      <c r="G14" s="8" t="n">
        <v>65.7</v>
      </c>
      <c r="H14" s="8" t="n">
        <v>66.59999999999999</v>
      </c>
      <c r="I14" s="8" t="n">
        <v>61.7</v>
      </c>
      <c r="J14" s="8" t="n">
        <v>63.4</v>
      </c>
      <c r="K14" s="8" t="n">
        <v>75.2</v>
      </c>
      <c r="L14" s="8" t="n">
        <v>84.09999999999999</v>
      </c>
      <c r="M14" s="8" t="n">
        <v>66.90000000000001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241.3</v>
      </c>
      <c r="C16" s="8" t="n">
        <v>222.7</v>
      </c>
      <c r="D16" s="8" t="n">
        <v>300.2</v>
      </c>
      <c r="E16" s="8" t="n">
        <v>323.2</v>
      </c>
      <c r="F16" s="8" t="n">
        <v>342</v>
      </c>
      <c r="G16" s="8" t="n">
        <v>407.7</v>
      </c>
      <c r="H16" s="8" t="n">
        <v>391</v>
      </c>
      <c r="I16" s="8" t="n">
        <v>406.7</v>
      </c>
      <c r="J16" s="8" t="n">
        <v>338.7</v>
      </c>
      <c r="K16" s="8" t="n">
        <v>257.5</v>
      </c>
      <c r="L16" s="8" t="n">
        <v>186.3</v>
      </c>
      <c r="M16" s="8" t="n">
        <v>229.8</v>
      </c>
      <c r="N16" s="9">
        <f>SUM(B16:M16)</f>
        <v/>
      </c>
    </row>
    <row r="17">
      <c r="A17" s="7" t="inlineStr">
        <is>
          <t>Broj vedrih dana</t>
        </is>
      </c>
      <c r="B17" s="10" t="n">
        <v>14</v>
      </c>
      <c r="C17" s="10" t="n">
        <v>6</v>
      </c>
      <c r="D17" s="10" t="n">
        <v>4</v>
      </c>
      <c r="E17" s="10" t="n">
        <v>7</v>
      </c>
      <c r="F17" s="10" t="n">
        <v>1</v>
      </c>
      <c r="G17" s="10" t="n">
        <v>15</v>
      </c>
      <c r="H17" s="10" t="n">
        <v>16</v>
      </c>
      <c r="I17" s="10" t="n">
        <v>18</v>
      </c>
      <c r="J17" s="10" t="n">
        <v>15</v>
      </c>
      <c r="K17" s="10" t="n">
        <v>11</v>
      </c>
      <c r="L17" s="10" t="n">
        <v>5</v>
      </c>
      <c r="M17" s="10" t="n">
        <v>13</v>
      </c>
      <c r="N17" s="11">
        <f>SUM(B17:M17)</f>
        <v/>
      </c>
    </row>
    <row r="18">
      <c r="A18" s="7" t="inlineStr">
        <is>
          <t>Broj oblačnih dana</t>
        </is>
      </c>
      <c r="B18" s="10" t="n">
        <v>7</v>
      </c>
      <c r="C18" s="10" t="n">
        <v>10</v>
      </c>
      <c r="D18" s="10" t="n">
        <v>9</v>
      </c>
      <c r="E18" s="10" t="n">
        <v>9</v>
      </c>
      <c r="F18" s="10" t="n">
        <v>6</v>
      </c>
      <c r="G18" s="10" t="n">
        <v>2</v>
      </c>
      <c r="H18" s="10" t="n">
        <v>5</v>
      </c>
      <c r="I18" s="10" t="n">
        <v>0</v>
      </c>
      <c r="J18" s="10" t="n">
        <v>1</v>
      </c>
      <c r="K18" s="10" t="n">
        <v>9</v>
      </c>
      <c r="L18" s="10" t="n">
        <v>13</v>
      </c>
      <c r="M18" s="10" t="n">
        <v>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22.9</v>
      </c>
      <c r="C20" s="8" t="n">
        <v>118.5</v>
      </c>
      <c r="D20" s="8" t="n">
        <v>70.2</v>
      </c>
      <c r="E20" s="8" t="n">
        <v>189.5</v>
      </c>
      <c r="F20" s="8" t="n">
        <v>180.6</v>
      </c>
      <c r="G20" s="8" t="n">
        <v>50.2</v>
      </c>
      <c r="H20" s="8" t="n">
        <v>88.90000000000001</v>
      </c>
      <c r="I20" s="8" t="n">
        <v>22.4</v>
      </c>
      <c r="J20" s="8" t="n">
        <v>50.8</v>
      </c>
      <c r="K20" s="8" t="n">
        <v>216.2</v>
      </c>
      <c r="L20" s="8" t="n">
        <v>378.5</v>
      </c>
      <c r="M20" s="8" t="n">
        <v>40.3</v>
      </c>
      <c r="N20" s="9">
        <f>SUM(B20:M20)</f>
        <v/>
      </c>
    </row>
    <row r="21">
      <c r="A21" s="7" t="inlineStr">
        <is>
          <t>Max. dnevna suma</t>
        </is>
      </c>
      <c r="B21" s="8" t="n">
        <v>10.9</v>
      </c>
      <c r="C21" s="8" t="n">
        <v>43.3</v>
      </c>
      <c r="D21" s="8" t="n">
        <v>21.5</v>
      </c>
      <c r="E21" s="8" t="n">
        <v>68.09999999999999</v>
      </c>
      <c r="F21" s="8" t="n">
        <v>35.7</v>
      </c>
      <c r="G21" s="8" t="n">
        <v>32.8</v>
      </c>
      <c r="H21" s="8" t="n">
        <v>16.8</v>
      </c>
      <c r="I21" s="8" t="n">
        <v>18.1</v>
      </c>
      <c r="J21" s="8" t="n">
        <v>31.1</v>
      </c>
      <c r="K21" s="8" t="n">
        <v>50.1</v>
      </c>
      <c r="L21" s="8" t="n">
        <v>85.09999999999999</v>
      </c>
      <c r="M21" s="8" t="n">
        <v>15.9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7</v>
      </c>
      <c r="C22" s="10" t="n">
        <v>11</v>
      </c>
      <c r="D22" s="10" t="n">
        <v>15</v>
      </c>
      <c r="E22" s="10" t="n">
        <v>20</v>
      </c>
      <c r="F22" s="10" t="n">
        <v>17</v>
      </c>
      <c r="G22" s="10" t="n">
        <v>6</v>
      </c>
      <c r="H22" s="10" t="n">
        <v>13</v>
      </c>
      <c r="I22" s="10" t="n">
        <v>7</v>
      </c>
      <c r="J22" s="10" t="n">
        <v>8</v>
      </c>
      <c r="K22" s="10" t="n">
        <v>16</v>
      </c>
      <c r="L22" s="10" t="n">
        <v>19</v>
      </c>
      <c r="M22" s="10" t="n">
        <v>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3</v>
      </c>
      <c r="D23" s="10" t="n">
        <v>2</v>
      </c>
      <c r="E23" s="10" t="n">
        <v>5</v>
      </c>
      <c r="F23" s="10" t="n">
        <v>6</v>
      </c>
      <c r="G23" s="10" t="n">
        <v>2</v>
      </c>
      <c r="H23" s="10" t="n">
        <v>5</v>
      </c>
      <c r="I23" s="10" t="n">
        <v>1</v>
      </c>
      <c r="J23" s="10" t="n">
        <v>1</v>
      </c>
      <c r="K23" s="10" t="n">
        <v>7</v>
      </c>
      <c r="L23" s="10" t="n">
        <v>11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5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5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1992.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2.4</v>
      </c>
      <c r="C6" s="8" t="n">
        <v>3.6</v>
      </c>
      <c r="D6" s="8" t="n">
        <v>7.6</v>
      </c>
      <c r="E6" s="8" t="n">
        <v>11</v>
      </c>
      <c r="F6" s="8" t="n">
        <v>16.8</v>
      </c>
      <c r="G6" s="8" t="n">
        <v>19</v>
      </c>
      <c r="H6" s="8" t="n">
        <v>21.9</v>
      </c>
      <c r="I6" s="8" t="n">
        <v>25.5</v>
      </c>
      <c r="J6" s="8" t="n">
        <v>18.9</v>
      </c>
      <c r="K6" s="8" t="n">
        <v>14.7</v>
      </c>
      <c r="L6" s="8" t="n">
        <v>9.199999999999999</v>
      </c>
      <c r="M6" s="8" t="n">
        <v>3.4</v>
      </c>
      <c r="N6" s="9">
        <f>AVERAGE(B6:M6)</f>
        <v/>
      </c>
    </row>
    <row r="7">
      <c r="A7" s="7" t="inlineStr">
        <is>
          <t>Srednja maksimalna</t>
        </is>
      </c>
      <c r="B7" s="8" t="n">
        <v>8.1</v>
      </c>
      <c r="C7" s="8" t="n">
        <v>9.699999999999999</v>
      </c>
      <c r="D7" s="8" t="n">
        <v>13.3</v>
      </c>
      <c r="E7" s="8" t="n">
        <v>15.8</v>
      </c>
      <c r="F7" s="8" t="n">
        <v>22.8</v>
      </c>
      <c r="G7" s="8" t="n">
        <v>24</v>
      </c>
      <c r="H7" s="8" t="n">
        <v>27.7</v>
      </c>
      <c r="I7" s="8" t="n">
        <v>32.3</v>
      </c>
      <c r="J7" s="8" t="n">
        <v>25.3</v>
      </c>
      <c r="K7" s="8" t="n">
        <v>18.8</v>
      </c>
      <c r="L7" s="8" t="n">
        <v>14.4</v>
      </c>
      <c r="M7" s="8" t="n">
        <v>9.300000000000001</v>
      </c>
      <c r="N7" s="9">
        <f>AVERAGE(B7:M7)</f>
        <v/>
      </c>
    </row>
    <row r="8">
      <c r="A8" s="7" t="inlineStr">
        <is>
          <t>Srednja minimalna</t>
        </is>
      </c>
      <c r="B8" s="8" t="n">
        <v>-1.8</v>
      </c>
      <c r="C8" s="8" t="n">
        <v>-2.2</v>
      </c>
      <c r="D8" s="8" t="n">
        <v>1.8</v>
      </c>
      <c r="E8" s="8" t="n">
        <v>5.5</v>
      </c>
      <c r="F8" s="8" t="n">
        <v>9.4</v>
      </c>
      <c r="G8" s="8" t="n">
        <v>13.1</v>
      </c>
      <c r="H8" s="8" t="n">
        <v>14.8</v>
      </c>
      <c r="I8" s="8" t="n">
        <v>17.4</v>
      </c>
      <c r="J8" s="8" t="n">
        <v>12</v>
      </c>
      <c r="K8" s="8" t="n">
        <v>10.5</v>
      </c>
      <c r="L8" s="8" t="n">
        <v>4.2</v>
      </c>
      <c r="M8" s="8" t="n">
        <v>-1.2</v>
      </c>
      <c r="N8" s="9">
        <f>AVERAGE(B8:M8)</f>
        <v/>
      </c>
    </row>
    <row r="9">
      <c r="A9" s="7" t="inlineStr">
        <is>
          <t>Apsolutni maksimum</t>
        </is>
      </c>
      <c r="B9" s="8" t="n">
        <v>13.2</v>
      </c>
      <c r="C9" s="8" t="n">
        <v>17.1</v>
      </c>
      <c r="D9" s="8" t="n">
        <v>19.1</v>
      </c>
      <c r="E9" s="8" t="n">
        <v>23.4</v>
      </c>
      <c r="F9" s="8" t="n">
        <v>26.3</v>
      </c>
      <c r="G9" s="8" t="n">
        <v>28.1</v>
      </c>
      <c r="H9" s="8" t="n">
        <v>32</v>
      </c>
      <c r="I9" s="8" t="n">
        <v>34.6</v>
      </c>
      <c r="J9" s="8" t="n">
        <v>29</v>
      </c>
      <c r="K9" s="8" t="n">
        <v>24.3</v>
      </c>
      <c r="L9" s="8" t="n">
        <v>22</v>
      </c>
      <c r="M9" s="8" t="n">
        <v>13.7</v>
      </c>
      <c r="N9" s="9">
        <f>MAX(B9:M9)</f>
        <v/>
      </c>
    </row>
    <row r="10">
      <c r="A10" s="7" t="inlineStr">
        <is>
          <t>Apsolutni minimum</t>
        </is>
      </c>
      <c r="B10" s="8" t="n">
        <v>-4.4</v>
      </c>
      <c r="C10" s="8" t="n">
        <v>-7.7</v>
      </c>
      <c r="D10" s="8" t="n">
        <v>-2.9</v>
      </c>
      <c r="E10" s="8" t="n">
        <v>0.6</v>
      </c>
      <c r="F10" s="8" t="n">
        <v>6.8</v>
      </c>
      <c r="G10" s="8" t="n">
        <v>9.699999999999999</v>
      </c>
      <c r="H10" s="8" t="n">
        <v>12.1</v>
      </c>
      <c r="I10" s="8" t="n">
        <v>15.8</v>
      </c>
      <c r="J10" s="8" t="n">
        <v>7.1</v>
      </c>
      <c r="K10" s="8" t="n">
        <v>4.9</v>
      </c>
      <c r="L10" s="8" t="n">
        <v>-2.9</v>
      </c>
      <c r="M10" s="8" t="n">
        <v>-5.7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22</v>
      </c>
      <c r="D11" s="10" t="n">
        <v>14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6</v>
      </c>
      <c r="M11" s="10" t="n">
        <v>21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8</v>
      </c>
      <c r="I12" s="10" t="n">
        <v>29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77.7</v>
      </c>
      <c r="C14" s="8" t="n">
        <v>71.59999999999999</v>
      </c>
      <c r="D14" s="8" t="n">
        <v>72.09999999999999</v>
      </c>
      <c r="E14" s="8" t="n">
        <v>73.2</v>
      </c>
      <c r="F14" s="8" t="n">
        <v>64</v>
      </c>
      <c r="G14" s="8" t="n">
        <v>73</v>
      </c>
      <c r="H14" s="8" t="n">
        <v>67.59999999999999</v>
      </c>
      <c r="I14" s="8" t="n">
        <v>59.4</v>
      </c>
      <c r="J14" s="8" t="n">
        <v>64.2</v>
      </c>
      <c r="K14" s="8" t="n">
        <v>82.09999999999999</v>
      </c>
      <c r="L14" s="8" t="n">
        <v>80.2</v>
      </c>
      <c r="M14" s="8" t="n">
        <v>76.2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208</v>
      </c>
      <c r="C16" s="8" t="n">
        <v>256</v>
      </c>
      <c r="D16" s="8" t="n">
        <v>291.5</v>
      </c>
      <c r="E16" s="8" t="n">
        <v>278.9</v>
      </c>
      <c r="F16" s="8" t="n">
        <v>380</v>
      </c>
      <c r="G16" s="8" t="n">
        <v>367.5</v>
      </c>
      <c r="H16" s="8" t="n">
        <v>409.3</v>
      </c>
      <c r="I16" s="8" t="n">
        <v>405.6</v>
      </c>
      <c r="J16" s="8" t="n">
        <v>330.9</v>
      </c>
      <c r="K16" s="8" t="n">
        <v>227.2</v>
      </c>
      <c r="L16" s="8" t="n">
        <v>198.1</v>
      </c>
      <c r="M16" s="8" t="n">
        <v>216.8</v>
      </c>
      <c r="N16" s="9">
        <f>SUM(B16:M16)</f>
        <v/>
      </c>
    </row>
    <row r="17">
      <c r="A17" s="7" t="inlineStr">
        <is>
          <t>Broj vedrih dana</t>
        </is>
      </c>
      <c r="B17" s="10" t="n">
        <v>8</v>
      </c>
      <c r="C17" s="10" t="n">
        <v>11</v>
      </c>
      <c r="D17" s="10" t="n">
        <v>9</v>
      </c>
      <c r="E17" s="10" t="n">
        <v>5</v>
      </c>
      <c r="F17" s="10" t="n">
        <v>7</v>
      </c>
      <c r="G17" s="10" t="n">
        <v>2</v>
      </c>
      <c r="H17" s="10" t="n">
        <v>15</v>
      </c>
      <c r="I17" s="10" t="n">
        <v>26</v>
      </c>
      <c r="J17" s="10" t="n">
        <v>20</v>
      </c>
      <c r="K17" s="10" t="n">
        <v>1</v>
      </c>
      <c r="L17" s="10" t="n">
        <v>8</v>
      </c>
      <c r="M17" s="10" t="n">
        <v>12</v>
      </c>
      <c r="N17" s="11">
        <f>SUM(B17:M17)</f>
        <v/>
      </c>
    </row>
    <row r="18">
      <c r="A18" s="7" t="inlineStr">
        <is>
          <t>Broj oblačnih dana</t>
        </is>
      </c>
      <c r="B18" s="10" t="n">
        <v>8</v>
      </c>
      <c r="C18" s="10" t="n">
        <v>4</v>
      </c>
      <c r="D18" s="10" t="n">
        <v>7</v>
      </c>
      <c r="E18" s="10" t="n">
        <v>11</v>
      </c>
      <c r="F18" s="10" t="n">
        <v>4</v>
      </c>
      <c r="G18" s="10" t="n">
        <v>6</v>
      </c>
      <c r="H18" s="10" t="n">
        <v>3</v>
      </c>
      <c r="I18" s="10" t="n">
        <v>0</v>
      </c>
      <c r="J18" s="10" t="n">
        <v>4</v>
      </c>
      <c r="K18" s="10" t="n">
        <v>9</v>
      </c>
      <c r="L18" s="10" t="n">
        <v>10</v>
      </c>
      <c r="M18" s="10" t="n">
        <v>7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50.5</v>
      </c>
      <c r="C20" s="8" t="n">
        <v>25.3</v>
      </c>
      <c r="D20" s="8" t="n">
        <v>75.7</v>
      </c>
      <c r="E20" s="8" t="n">
        <v>195</v>
      </c>
      <c r="F20" s="8" t="n">
        <v>27.4</v>
      </c>
      <c r="G20" s="8" t="n">
        <v>107.5</v>
      </c>
      <c r="H20" s="8" t="n">
        <v>73.5</v>
      </c>
      <c r="I20" s="8" t="n">
        <v>5.4</v>
      </c>
      <c r="J20" s="8" t="n">
        <v>44.1</v>
      </c>
      <c r="K20" s="8" t="n">
        <v>381.4</v>
      </c>
      <c r="L20" s="8" t="n">
        <v>129.2</v>
      </c>
      <c r="M20" s="8" t="n">
        <v>100.9</v>
      </c>
      <c r="N20" s="9">
        <f>SUM(B20:M20)</f>
        <v/>
      </c>
    </row>
    <row r="21">
      <c r="A21" s="7" t="inlineStr">
        <is>
          <t>Max. dnevna suma</t>
        </is>
      </c>
      <c r="B21" s="8" t="n">
        <v>22.2</v>
      </c>
      <c r="C21" s="8" t="n">
        <v>13.9</v>
      </c>
      <c r="D21" s="8" t="n">
        <v>21.8</v>
      </c>
      <c r="E21" s="8" t="n">
        <v>52.6</v>
      </c>
      <c r="F21" s="8" t="n">
        <v>11.1</v>
      </c>
      <c r="G21" s="8" t="n">
        <v>24.3</v>
      </c>
      <c r="H21" s="8" t="n">
        <v>35.6</v>
      </c>
      <c r="I21" s="8" t="n">
        <v>2.3</v>
      </c>
      <c r="J21" s="8" t="n">
        <v>24.7</v>
      </c>
      <c r="K21" s="8" t="n">
        <v>106.8</v>
      </c>
      <c r="L21" s="8" t="n">
        <v>53.5</v>
      </c>
      <c r="M21" s="8" t="n">
        <v>41.2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5</v>
      </c>
      <c r="C22" s="10" t="n">
        <v>6</v>
      </c>
      <c r="D22" s="10" t="n">
        <v>13</v>
      </c>
      <c r="E22" s="10" t="n">
        <v>17</v>
      </c>
      <c r="F22" s="10" t="n">
        <v>10</v>
      </c>
      <c r="G22" s="10" t="n">
        <v>21</v>
      </c>
      <c r="H22" s="10" t="n">
        <v>10</v>
      </c>
      <c r="I22" s="10" t="n">
        <v>4</v>
      </c>
      <c r="J22" s="10" t="n">
        <v>8</v>
      </c>
      <c r="K22" s="10" t="n">
        <v>22</v>
      </c>
      <c r="L22" s="10" t="n">
        <v>12</v>
      </c>
      <c r="M22" s="10" t="n">
        <v>10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1</v>
      </c>
      <c r="D23" s="10" t="n">
        <v>3</v>
      </c>
      <c r="E23" s="10" t="n">
        <v>6</v>
      </c>
      <c r="F23" s="10" t="n">
        <v>1</v>
      </c>
      <c r="G23" s="10" t="n">
        <v>4</v>
      </c>
      <c r="H23" s="10" t="n">
        <v>3</v>
      </c>
      <c r="I23" s="10" t="n">
        <v>0</v>
      </c>
      <c r="J23" s="10" t="n">
        <v>2</v>
      </c>
      <c r="K23" s="10" t="n">
        <v>11</v>
      </c>
      <c r="L23" s="10" t="n">
        <v>4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0</v>
      </c>
      <c r="D25" s="10" t="n">
        <v>0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0</v>
      </c>
      <c r="D26" s="10" t="n">
        <v>0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1993.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1.8</v>
      </c>
      <c r="C6" s="8" t="n">
        <v>1.9</v>
      </c>
      <c r="D6" s="8" t="n">
        <v>5.9</v>
      </c>
      <c r="E6" s="8" t="n">
        <v>11</v>
      </c>
      <c r="F6" s="8" t="n">
        <v>17.3</v>
      </c>
      <c r="G6" s="8" t="n">
        <v>21</v>
      </c>
      <c r="H6" s="8" t="n">
        <v>22.7</v>
      </c>
      <c r="I6" s="8" t="n">
        <v>24.7</v>
      </c>
      <c r="J6" s="8" t="n">
        <v>17.9</v>
      </c>
      <c r="K6" s="8" t="n">
        <v>14.8</v>
      </c>
      <c r="L6" s="8" t="n">
        <v>7.7</v>
      </c>
      <c r="M6" s="8" t="n">
        <v>6.6</v>
      </c>
      <c r="N6" s="9">
        <f>AVERAGE(B6:M6)</f>
        <v/>
      </c>
    </row>
    <row r="7">
      <c r="A7" s="7" t="inlineStr">
        <is>
          <t>Srednja maksimalna</t>
        </is>
      </c>
      <c r="B7" s="8" t="n">
        <v>8.300000000000001</v>
      </c>
      <c r="C7" s="8" t="n">
        <v>8.800000000000001</v>
      </c>
      <c r="D7" s="8" t="n">
        <v>11.8</v>
      </c>
      <c r="E7" s="8" t="n">
        <v>16.9</v>
      </c>
      <c r="F7" s="8" t="n">
        <v>23.2</v>
      </c>
      <c r="G7" s="8" t="n">
        <v>26.7</v>
      </c>
      <c r="H7" s="8" t="n">
        <v>28.9</v>
      </c>
      <c r="I7" s="8" t="n">
        <v>31.5</v>
      </c>
      <c r="J7" s="8" t="n">
        <v>23.5</v>
      </c>
      <c r="K7" s="8" t="n">
        <v>20.4</v>
      </c>
      <c r="L7" s="8" t="n">
        <v>12.2</v>
      </c>
      <c r="M7" s="8" t="n">
        <v>11.1</v>
      </c>
      <c r="N7" s="9">
        <f>AVERAGE(B7:M7)</f>
        <v/>
      </c>
    </row>
    <row r="8">
      <c r="A8" s="7" t="inlineStr">
        <is>
          <t>Srednja minimalna</t>
        </is>
      </c>
      <c r="B8" s="8" t="n">
        <v>-3.2</v>
      </c>
      <c r="C8" s="8" t="n">
        <v>-3.5</v>
      </c>
      <c r="D8" s="8" t="n">
        <v>-0.2</v>
      </c>
      <c r="E8" s="8" t="n">
        <v>4.2</v>
      </c>
      <c r="F8" s="8" t="n">
        <v>10</v>
      </c>
      <c r="G8" s="8" t="n">
        <v>13.8</v>
      </c>
      <c r="H8" s="8" t="n">
        <v>14.6</v>
      </c>
      <c r="I8" s="8" t="n">
        <v>16.7</v>
      </c>
      <c r="J8" s="8" t="n">
        <v>11.9</v>
      </c>
      <c r="K8" s="8" t="n">
        <v>9.699999999999999</v>
      </c>
      <c r="L8" s="8" t="n">
        <v>3.8</v>
      </c>
      <c r="M8" s="8" t="n">
        <v>2.4</v>
      </c>
      <c r="N8" s="9">
        <f>AVERAGE(B8:M8)</f>
        <v/>
      </c>
    </row>
    <row r="9">
      <c r="A9" s="7" t="inlineStr">
        <is>
          <t>Apsolutni maksimum</t>
        </is>
      </c>
      <c r="B9" s="8" t="n">
        <v>13.7</v>
      </c>
      <c r="C9" s="8" t="n">
        <v>13.9</v>
      </c>
      <c r="D9" s="8" t="n">
        <v>20.4</v>
      </c>
      <c r="E9" s="8" t="n">
        <v>22.8</v>
      </c>
      <c r="F9" s="8" t="n">
        <v>27.2</v>
      </c>
      <c r="G9" s="8" t="n">
        <v>30.3</v>
      </c>
      <c r="H9" s="8" t="n">
        <v>34.7</v>
      </c>
      <c r="I9" s="8" t="n">
        <v>35.7</v>
      </c>
      <c r="J9" s="8" t="n">
        <v>28.5</v>
      </c>
      <c r="K9" s="8" t="n">
        <v>27.5</v>
      </c>
      <c r="L9" s="8" t="n">
        <v>17.7</v>
      </c>
      <c r="M9" s="8" t="n">
        <v>15</v>
      </c>
      <c r="N9" s="9">
        <f>MAX(B9:M9)</f>
        <v/>
      </c>
    </row>
    <row r="10">
      <c r="A10" s="7" t="inlineStr">
        <is>
          <t>Apsolutni minimum</t>
        </is>
      </c>
      <c r="B10" s="8" t="n">
        <v>-10.9</v>
      </c>
      <c r="C10" s="8" t="n">
        <v>-6.2</v>
      </c>
      <c r="D10" s="8" t="n">
        <v>-4.9</v>
      </c>
      <c r="E10" s="8" t="n">
        <v>-2.5</v>
      </c>
      <c r="F10" s="8" t="n">
        <v>5.9</v>
      </c>
      <c r="G10" s="8" t="n">
        <v>10.4</v>
      </c>
      <c r="H10" s="8" t="n">
        <v>10.1</v>
      </c>
      <c r="I10" s="8" t="n">
        <v>10.3</v>
      </c>
      <c r="J10" s="8" t="n">
        <v>7.4</v>
      </c>
      <c r="K10" s="8" t="n">
        <v>2.6</v>
      </c>
      <c r="L10" s="8" t="n">
        <v>-3.4</v>
      </c>
      <c r="M10" s="8" t="n">
        <v>-3.4</v>
      </c>
      <c r="N10" s="9">
        <f>MIN(B10:M10)</f>
        <v/>
      </c>
    </row>
    <row r="11">
      <c r="A11" s="7" t="inlineStr">
        <is>
          <t>Sr. br. mraznih dana</t>
        </is>
      </c>
      <c r="B11" s="10" t="n">
        <v>27</v>
      </c>
      <c r="C11" s="10" t="n">
        <v>28</v>
      </c>
      <c r="D11" s="10" t="n">
        <v>17</v>
      </c>
      <c r="E11" s="10" t="n">
        <v>4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10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</v>
      </c>
      <c r="H12" s="10" t="n">
        <v>12</v>
      </c>
      <c r="I12" s="10" t="n">
        <v>24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75.5</v>
      </c>
      <c r="C14" s="8" t="n">
        <v>63.2</v>
      </c>
      <c r="D14" s="8" t="n">
        <v>70.90000000000001</v>
      </c>
      <c r="E14" s="8" t="n">
        <v>76.09999999999999</v>
      </c>
      <c r="F14" s="8" t="n">
        <v>69.7</v>
      </c>
      <c r="G14" s="8" t="n">
        <v>60.5</v>
      </c>
      <c r="H14" s="8" t="n">
        <v>55.5</v>
      </c>
      <c r="I14" s="8" t="n">
        <v>52.5</v>
      </c>
      <c r="J14" s="8" t="n">
        <v>72.2</v>
      </c>
      <c r="K14" s="8" t="n">
        <v>76.7</v>
      </c>
      <c r="L14" s="8" t="n">
        <v>80.2</v>
      </c>
      <c r="M14" s="8" t="n">
        <v>85.2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222</v>
      </c>
      <c r="C16" s="8" t="n">
        <v>259.1</v>
      </c>
      <c r="D16" s="8" t="n">
        <v>293.6</v>
      </c>
      <c r="E16" s="8" t="n">
        <v>342.4</v>
      </c>
      <c r="F16" s="8" t="n">
        <v>379.2</v>
      </c>
      <c r="G16" s="8" t="n">
        <v>411.3</v>
      </c>
      <c r="H16" s="8" t="n">
        <v>422.2</v>
      </c>
      <c r="I16" s="8" t="n">
        <v>407.8</v>
      </c>
      <c r="J16" s="8" t="n">
        <v>324.7</v>
      </c>
      <c r="K16" s="8" t="n">
        <v>259.8</v>
      </c>
      <c r="L16" s="8" t="n">
        <v>169.3</v>
      </c>
      <c r="M16" s="8" t="n">
        <v>177.4</v>
      </c>
      <c r="N16" s="9">
        <f>SUM(B16:M16)</f>
        <v/>
      </c>
    </row>
    <row r="17">
      <c r="A17" s="7" t="inlineStr">
        <is>
          <t>Broj vedrih dana</t>
        </is>
      </c>
      <c r="B17" s="10" t="n">
        <v>14</v>
      </c>
      <c r="C17" s="10" t="n">
        <v>14</v>
      </c>
      <c r="D17" s="10" t="n">
        <v>9</v>
      </c>
      <c r="E17" s="10" t="n">
        <v>3</v>
      </c>
      <c r="F17" s="10" t="n">
        <v>8</v>
      </c>
      <c r="G17" s="10" t="n">
        <v>8</v>
      </c>
      <c r="H17" s="10" t="n">
        <v>21</v>
      </c>
      <c r="I17" s="10" t="n">
        <v>21</v>
      </c>
      <c r="J17" s="10" t="n">
        <v>13</v>
      </c>
      <c r="K17" s="10" t="n">
        <v>8</v>
      </c>
      <c r="L17" s="10" t="n">
        <v>4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5</v>
      </c>
      <c r="C18" s="10" t="n">
        <v>1</v>
      </c>
      <c r="D18" s="10" t="n">
        <v>9</v>
      </c>
      <c r="E18" s="10" t="n">
        <v>5</v>
      </c>
      <c r="F18" s="10" t="n">
        <v>5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6</v>
      </c>
      <c r="L18" s="10" t="n">
        <v>15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13.5</v>
      </c>
      <c r="C20" s="8" t="n">
        <v>8.699999999999999</v>
      </c>
      <c r="D20" s="8" t="n">
        <v>128.8</v>
      </c>
      <c r="E20" s="8" t="n">
        <v>80.7</v>
      </c>
      <c r="F20" s="8" t="n">
        <v>57.6</v>
      </c>
      <c r="G20" s="8" t="n">
        <v>23.9</v>
      </c>
      <c r="H20" s="8" t="n">
        <v>28.7</v>
      </c>
      <c r="I20" s="8" t="n">
        <v>25</v>
      </c>
      <c r="J20" s="8" t="n">
        <v>141.8</v>
      </c>
      <c r="K20" s="8" t="n">
        <v>196.5</v>
      </c>
      <c r="L20" s="8" t="n">
        <v>255.9</v>
      </c>
      <c r="M20" s="8" t="n">
        <v>231.4</v>
      </c>
      <c r="N20" s="9">
        <f>SUM(B20:M20)</f>
        <v/>
      </c>
    </row>
    <row r="21">
      <c r="A21" s="7" t="inlineStr">
        <is>
          <t>Max. dnevna suma</t>
        </is>
      </c>
      <c r="B21" s="8" t="n">
        <v>4.2</v>
      </c>
      <c r="C21" s="8" t="n">
        <v>2.9</v>
      </c>
      <c r="D21" s="8" t="n">
        <v>44.7</v>
      </c>
      <c r="E21" s="8" t="n">
        <v>16.9</v>
      </c>
      <c r="F21" s="8" t="n">
        <v>12.1</v>
      </c>
      <c r="G21" s="8" t="n">
        <v>12.1</v>
      </c>
      <c r="H21" s="8" t="n">
        <v>15.7</v>
      </c>
      <c r="I21" s="8" t="n">
        <v>19.4</v>
      </c>
      <c r="J21" s="8" t="n">
        <v>28</v>
      </c>
      <c r="K21" s="8" t="n">
        <v>89.3</v>
      </c>
      <c r="L21" s="8" t="n">
        <v>67.5</v>
      </c>
      <c r="M21" s="8" t="n">
        <v>45.7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6</v>
      </c>
      <c r="C22" s="10" t="n">
        <v>4</v>
      </c>
      <c r="D22" s="10" t="n">
        <v>11</v>
      </c>
      <c r="E22" s="10" t="n">
        <v>19</v>
      </c>
      <c r="F22" s="10" t="n">
        <v>15</v>
      </c>
      <c r="G22" s="10" t="n">
        <v>11</v>
      </c>
      <c r="H22" s="10" t="n">
        <v>7</v>
      </c>
      <c r="I22" s="10" t="n">
        <v>9</v>
      </c>
      <c r="J22" s="10" t="n">
        <v>11</v>
      </c>
      <c r="K22" s="10" t="n">
        <v>12</v>
      </c>
      <c r="L22" s="10" t="n">
        <v>19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0</v>
      </c>
      <c r="C23" s="10" t="n">
        <v>0</v>
      </c>
      <c r="D23" s="10" t="n">
        <v>4</v>
      </c>
      <c r="E23" s="10" t="n">
        <v>3</v>
      </c>
      <c r="F23" s="10" t="n">
        <v>2</v>
      </c>
      <c r="G23" s="10" t="n">
        <v>1</v>
      </c>
      <c r="H23" s="10" t="n">
        <v>2</v>
      </c>
      <c r="I23" s="10" t="n">
        <v>1</v>
      </c>
      <c r="J23" s="10" t="n">
        <v>6</v>
      </c>
      <c r="K23" s="10" t="n">
        <v>4</v>
      </c>
      <c r="L23" s="10" t="n">
        <v>7</v>
      </c>
      <c r="M23" s="10" t="n">
        <v>9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4</v>
      </c>
      <c r="D25" s="10" t="n">
        <v>5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4</v>
      </c>
      <c r="D26" s="10" t="n">
        <v>5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1994.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5.1</v>
      </c>
      <c r="C6" s="8" t="n">
        <v>4.3</v>
      </c>
      <c r="D6" s="8" t="n">
        <v>9</v>
      </c>
      <c r="E6" s="8" t="n">
        <v>11.6</v>
      </c>
      <c r="F6" s="8" t="n">
        <v>16.4</v>
      </c>
      <c r="G6" s="8" t="n">
        <v>20.4</v>
      </c>
      <c r="H6" s="8" t="n">
        <v>25.1</v>
      </c>
      <c r="I6" s="8" t="n">
        <v>25.3</v>
      </c>
      <c r="J6" s="8" t="n">
        <v>20.4</v>
      </c>
      <c r="K6" s="8" t="n">
        <v>13.8</v>
      </c>
      <c r="L6" s="8" t="n">
        <v>8.699999999999999</v>
      </c>
      <c r="M6" s="8" t="n">
        <v>4.1</v>
      </c>
      <c r="N6" s="9">
        <f>AVERAGE(B6:M6)</f>
        <v/>
      </c>
    </row>
    <row r="7">
      <c r="A7" s="7" t="inlineStr">
        <is>
          <t>Srednja maksimalna</t>
        </is>
      </c>
      <c r="B7" s="8" t="n">
        <v>9.9</v>
      </c>
      <c r="C7" s="8" t="n">
        <v>9.5</v>
      </c>
      <c r="D7" s="8" t="n">
        <v>15.4</v>
      </c>
      <c r="E7" s="8" t="n">
        <v>16.5</v>
      </c>
      <c r="F7" s="8" t="n">
        <v>22</v>
      </c>
      <c r="G7" s="8" t="n">
        <v>26.2</v>
      </c>
      <c r="H7" s="8" t="n">
        <v>31.4</v>
      </c>
      <c r="I7" s="8" t="n">
        <v>31.8</v>
      </c>
      <c r="J7" s="8" t="n">
        <v>26.3</v>
      </c>
      <c r="K7" s="8" t="n">
        <v>19.5</v>
      </c>
      <c r="L7" s="8" t="n">
        <v>14.9</v>
      </c>
      <c r="M7" s="8" t="n">
        <v>9.6</v>
      </c>
      <c r="N7" s="9">
        <f>AVERAGE(B7:M7)</f>
        <v/>
      </c>
    </row>
    <row r="8">
      <c r="A8" s="7" t="inlineStr">
        <is>
          <t>Srednja minimalna</t>
        </is>
      </c>
      <c r="B8" s="8" t="n">
        <v>0.2</v>
      </c>
      <c r="C8" s="8" t="n">
        <v>-0.5</v>
      </c>
      <c r="D8" s="8" t="n">
        <v>2.5</v>
      </c>
      <c r="E8" s="8" t="n">
        <v>6</v>
      </c>
      <c r="F8" s="8" t="n">
        <v>9.4</v>
      </c>
      <c r="G8" s="8" t="n">
        <v>13.1</v>
      </c>
      <c r="H8" s="8" t="n">
        <v>17.6</v>
      </c>
      <c r="I8" s="8" t="n">
        <v>17.7</v>
      </c>
      <c r="J8" s="8" t="n">
        <v>14.3</v>
      </c>
      <c r="K8" s="8" t="n">
        <v>8.6</v>
      </c>
      <c r="L8" s="8" t="n">
        <v>3.8</v>
      </c>
      <c r="M8" s="8" t="n">
        <v>-0.3</v>
      </c>
      <c r="N8" s="9">
        <f>AVERAGE(B8:M8)</f>
        <v/>
      </c>
    </row>
    <row r="9">
      <c r="A9" s="7" t="inlineStr">
        <is>
          <t>Apsolutni maksimum</t>
        </is>
      </c>
      <c r="B9" s="8" t="n">
        <v>14.2</v>
      </c>
      <c r="C9" s="8" t="n">
        <v>16.2</v>
      </c>
      <c r="D9" s="8" t="n">
        <v>19.6</v>
      </c>
      <c r="E9" s="8" t="n">
        <v>23.6</v>
      </c>
      <c r="F9" s="8" t="n">
        <v>28.4</v>
      </c>
      <c r="G9" s="8" t="n">
        <v>33.3</v>
      </c>
      <c r="H9" s="8" t="n">
        <v>34.1</v>
      </c>
      <c r="I9" s="8" t="n">
        <v>34.7</v>
      </c>
      <c r="J9" s="8" t="n">
        <v>33.5</v>
      </c>
      <c r="K9" s="8" t="n">
        <v>27</v>
      </c>
      <c r="L9" s="8" t="n">
        <v>20</v>
      </c>
      <c r="M9" s="8" t="n">
        <v>15.2</v>
      </c>
      <c r="N9" s="9">
        <f>MAX(B9:M9)</f>
        <v/>
      </c>
    </row>
    <row r="10">
      <c r="A10" s="7" t="inlineStr">
        <is>
          <t>Apsolutni minimum</t>
        </is>
      </c>
      <c r="B10" s="8" t="n">
        <v>-4.1</v>
      </c>
      <c r="C10" s="8" t="n">
        <v>-11.1</v>
      </c>
      <c r="D10" s="8" t="n">
        <v>-3.6</v>
      </c>
      <c r="E10" s="8" t="n">
        <v>2.2</v>
      </c>
      <c r="F10" s="8" t="n">
        <v>3.1</v>
      </c>
      <c r="G10" s="8" t="n">
        <v>7.8</v>
      </c>
      <c r="H10" s="8" t="n">
        <v>15</v>
      </c>
      <c r="I10" s="8" t="n">
        <v>13.2</v>
      </c>
      <c r="J10" s="8" t="n">
        <v>9.6</v>
      </c>
      <c r="K10" s="8" t="n">
        <v>3.6</v>
      </c>
      <c r="L10" s="8" t="n">
        <v>-2.2</v>
      </c>
      <c r="M10" s="8" t="n">
        <v>-4.5</v>
      </c>
      <c r="N10" s="9">
        <f>MIN(B10:M10)</f>
        <v/>
      </c>
    </row>
    <row r="11">
      <c r="A11" s="7" t="inlineStr">
        <is>
          <t>Sr. br. mraznih dana</t>
        </is>
      </c>
      <c r="B11" s="10" t="n">
        <v>15</v>
      </c>
      <c r="C11" s="10" t="n">
        <v>15</v>
      </c>
      <c r="D11" s="10" t="n">
        <v>7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7</v>
      </c>
      <c r="M11" s="10" t="n">
        <v>19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8</v>
      </c>
      <c r="H12" s="10" t="n">
        <v>24</v>
      </c>
      <c r="I12" s="10" t="n">
        <v>25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79.7</v>
      </c>
      <c r="C14" s="8" t="n">
        <v>78.2</v>
      </c>
      <c r="D14" s="8" t="n">
        <v>74.40000000000001</v>
      </c>
      <c r="E14" s="8" t="n">
        <v>75.8</v>
      </c>
      <c r="F14" s="8" t="n">
        <v>67.7</v>
      </c>
      <c r="G14" s="8" t="n">
        <v>64.40000000000001</v>
      </c>
      <c r="H14" s="8" t="n">
        <v>57</v>
      </c>
      <c r="I14" s="8" t="n">
        <v>54.5</v>
      </c>
      <c r="J14" s="8" t="n">
        <v>72.40000000000001</v>
      </c>
      <c r="K14" s="8" t="n">
        <v>74.5</v>
      </c>
      <c r="L14" s="8" t="n">
        <v>79.90000000000001</v>
      </c>
      <c r="M14" s="8" t="n">
        <v>80.40000000000001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192.2</v>
      </c>
      <c r="C16" s="8" t="n">
        <v>192.9</v>
      </c>
      <c r="D16" s="8" t="n">
        <v>314</v>
      </c>
      <c r="E16" s="8" t="n">
        <v>307.5</v>
      </c>
      <c r="F16" s="8" t="n">
        <v>389.1</v>
      </c>
      <c r="G16" s="8" t="n">
        <v>409.8</v>
      </c>
      <c r="H16" s="8" t="n">
        <v>422.6</v>
      </c>
      <c r="I16" s="8" t="n">
        <v>405.2</v>
      </c>
      <c r="J16" s="8" t="n">
        <v>330.9</v>
      </c>
      <c r="K16" s="8" t="n">
        <v>300.2</v>
      </c>
      <c r="L16" s="8" t="n">
        <v>249.5</v>
      </c>
      <c r="M16" s="8" t="n">
        <v>183.8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3</v>
      </c>
      <c r="D17" s="10" t="n">
        <v>13</v>
      </c>
      <c r="E17" s="10" t="n">
        <v>2</v>
      </c>
      <c r="F17" s="10" t="n">
        <v>8</v>
      </c>
      <c r="G17" s="10" t="n">
        <v>14</v>
      </c>
      <c r="H17" s="10" t="n">
        <v>14</v>
      </c>
      <c r="I17" s="10" t="n">
        <v>21</v>
      </c>
      <c r="J17" s="10" t="n">
        <v>10</v>
      </c>
      <c r="K17" s="10" t="n">
        <v>6</v>
      </c>
      <c r="L17" s="10" t="n">
        <v>8</v>
      </c>
      <c r="M17" s="10" t="n">
        <v>7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12</v>
      </c>
      <c r="D18" s="10" t="n">
        <v>3</v>
      </c>
      <c r="E18" s="10" t="n">
        <v>10</v>
      </c>
      <c r="F18" s="10" t="n">
        <v>2</v>
      </c>
      <c r="G18" s="10" t="n">
        <v>1</v>
      </c>
      <c r="H18" s="10" t="n">
        <v>0</v>
      </c>
      <c r="I18" s="10" t="n">
        <v>0</v>
      </c>
      <c r="J18" s="10" t="n">
        <v>3</v>
      </c>
      <c r="K18" s="10" t="n">
        <v>4</v>
      </c>
      <c r="L18" s="10" t="n">
        <v>6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120.2</v>
      </c>
      <c r="C20" s="8" t="n">
        <v>126.8</v>
      </c>
      <c r="D20" s="8" t="n">
        <v>17.2</v>
      </c>
      <c r="E20" s="8" t="n">
        <v>234.5</v>
      </c>
      <c r="F20" s="8" t="n">
        <v>67.5</v>
      </c>
      <c r="G20" s="8" t="n">
        <v>45.8</v>
      </c>
      <c r="H20" s="8" t="n">
        <v>19.9</v>
      </c>
      <c r="I20" s="8" t="n">
        <v>49.9</v>
      </c>
      <c r="J20" s="8" t="n">
        <v>95.90000000000001</v>
      </c>
      <c r="K20" s="8" t="n">
        <v>109.5</v>
      </c>
      <c r="L20" s="8" t="n">
        <v>54.4</v>
      </c>
      <c r="M20" s="8" t="n">
        <v>77.90000000000001</v>
      </c>
      <c r="N20" s="9">
        <f>SUM(B20:M20)</f>
        <v/>
      </c>
    </row>
    <row r="21">
      <c r="A21" s="7" t="inlineStr">
        <is>
          <t>Max. dnevna suma</t>
        </is>
      </c>
      <c r="B21" s="8" t="n">
        <v>22.6</v>
      </c>
      <c r="C21" s="8" t="n">
        <v>46.3</v>
      </c>
      <c r="D21" s="8" t="n">
        <v>6.1</v>
      </c>
      <c r="E21" s="8" t="n">
        <v>50.3</v>
      </c>
      <c r="F21" s="8" t="n">
        <v>21.6</v>
      </c>
      <c r="G21" s="8" t="n">
        <v>24.6</v>
      </c>
      <c r="H21" s="8" t="n">
        <v>6.6</v>
      </c>
      <c r="I21" s="8" t="n">
        <v>26.7</v>
      </c>
      <c r="J21" s="8" t="n">
        <v>35.1</v>
      </c>
      <c r="K21" s="8" t="n">
        <v>34.6</v>
      </c>
      <c r="L21" s="8" t="n">
        <v>29.8</v>
      </c>
      <c r="M21" s="8" t="n">
        <v>17.9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21</v>
      </c>
      <c r="C22" s="10" t="n">
        <v>15</v>
      </c>
      <c r="D22" s="10" t="n">
        <v>9</v>
      </c>
      <c r="E22" s="10" t="n">
        <v>23</v>
      </c>
      <c r="F22" s="10" t="n">
        <v>12</v>
      </c>
      <c r="G22" s="10" t="n">
        <v>10</v>
      </c>
      <c r="H22" s="10" t="n">
        <v>17</v>
      </c>
      <c r="I22" s="10" t="n">
        <v>8</v>
      </c>
      <c r="J22" s="10" t="n">
        <v>10</v>
      </c>
      <c r="K22" s="10" t="n">
        <v>14</v>
      </c>
      <c r="L22" s="10" t="n">
        <v>7</v>
      </c>
      <c r="M22" s="10" t="n">
        <v>12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3</v>
      </c>
      <c r="D23" s="10" t="n">
        <v>0</v>
      </c>
      <c r="E23" s="10" t="n">
        <v>8</v>
      </c>
      <c r="F23" s="10" t="n">
        <v>3</v>
      </c>
      <c r="G23" s="10" t="n">
        <v>1</v>
      </c>
      <c r="H23" s="10" t="n">
        <v>0</v>
      </c>
      <c r="I23" s="10" t="n">
        <v>2</v>
      </c>
      <c r="J23" s="10" t="n">
        <v>3</v>
      </c>
      <c r="K23" s="10" t="n">
        <v>4</v>
      </c>
      <c r="L23" s="10" t="n">
        <v>1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5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5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1995.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2.8</v>
      </c>
      <c r="C6" s="8" t="n">
        <v>6.5</v>
      </c>
      <c r="D6" s="8" t="n">
        <v>6.6</v>
      </c>
      <c r="E6" s="8" t="n">
        <v>10.2</v>
      </c>
      <c r="F6" s="8" t="n">
        <v>15.4</v>
      </c>
      <c r="G6" s="8" t="n">
        <v>19.1</v>
      </c>
      <c r="H6" s="8" t="n">
        <v>24.6</v>
      </c>
      <c r="I6" s="8" t="n">
        <v>21.2</v>
      </c>
      <c r="J6" s="8" t="n">
        <v>16.2</v>
      </c>
      <c r="K6" s="8" t="n">
        <v>13.1</v>
      </c>
      <c r="L6" s="8" t="n">
        <v>6.1</v>
      </c>
      <c r="M6" s="8" t="n">
        <v>6.8</v>
      </c>
      <c r="N6" s="9">
        <f>AVERAGE(B6:M6)</f>
        <v/>
      </c>
    </row>
    <row r="7">
      <c r="A7" s="7" t="inlineStr">
        <is>
          <t>Srednja maksimalna</t>
        </is>
      </c>
      <c r="B7" s="8" t="n">
        <v>6.9</v>
      </c>
      <c r="C7" s="8" t="n">
        <v>12.3</v>
      </c>
      <c r="D7" s="8" t="n">
        <v>11.4</v>
      </c>
      <c r="E7" s="8" t="n">
        <v>16</v>
      </c>
      <c r="F7" s="8" t="n">
        <v>20.7</v>
      </c>
      <c r="G7" s="8" t="n">
        <v>24.1</v>
      </c>
      <c r="H7" s="8" t="n">
        <v>30.5</v>
      </c>
      <c r="I7" s="8" t="n">
        <v>26.4</v>
      </c>
      <c r="J7" s="8" t="n">
        <v>21.5</v>
      </c>
      <c r="K7" s="8" t="n">
        <v>20.6</v>
      </c>
      <c r="L7" s="8" t="n">
        <v>10.8</v>
      </c>
      <c r="M7" s="8" t="n">
        <v>10.6</v>
      </c>
      <c r="N7" s="9">
        <f>AVERAGE(B7:M7)</f>
        <v/>
      </c>
    </row>
    <row r="8">
      <c r="A8" s="7" t="inlineStr">
        <is>
          <t>Srednja minimalna</t>
        </is>
      </c>
      <c r="B8" s="8" t="n">
        <v>-1.4</v>
      </c>
      <c r="C8" s="8" t="n">
        <v>0.9</v>
      </c>
      <c r="D8" s="8" t="n">
        <v>1.3</v>
      </c>
      <c r="E8" s="8" t="n">
        <v>3.3</v>
      </c>
      <c r="F8" s="8" t="n">
        <v>9.1</v>
      </c>
      <c r="G8" s="8" t="n">
        <v>12.2</v>
      </c>
      <c r="H8" s="8" t="n">
        <v>17.1</v>
      </c>
      <c r="I8" s="8" t="n">
        <v>15.2</v>
      </c>
      <c r="J8" s="8" t="n">
        <v>10.7</v>
      </c>
      <c r="K8" s="8" t="n">
        <v>6.2</v>
      </c>
      <c r="L8" s="8" t="n">
        <v>1.8</v>
      </c>
      <c r="M8" s="8" t="n">
        <v>3.3</v>
      </c>
      <c r="N8" s="9">
        <f>AVERAGE(B8:M8)</f>
        <v/>
      </c>
    </row>
    <row r="9">
      <c r="A9" s="7" t="inlineStr">
        <is>
          <t>Apsolutni maksimum</t>
        </is>
      </c>
      <c r="B9" s="8" t="n">
        <v>13.1</v>
      </c>
      <c r="C9" s="8" t="n">
        <v>15</v>
      </c>
      <c r="D9" s="8" t="n">
        <v>17</v>
      </c>
      <c r="E9" s="8" t="n">
        <v>23.9</v>
      </c>
      <c r="F9" s="8" t="n">
        <v>27.4</v>
      </c>
      <c r="G9" s="8" t="n">
        <v>28.9</v>
      </c>
      <c r="H9" s="8" t="n">
        <v>34</v>
      </c>
      <c r="I9" s="8" t="n">
        <v>31.2</v>
      </c>
      <c r="J9" s="8" t="n">
        <v>26.9</v>
      </c>
      <c r="K9" s="8" t="n">
        <v>25.7</v>
      </c>
      <c r="L9" s="8" t="n">
        <v>17.9</v>
      </c>
      <c r="M9" s="8" t="n">
        <v>14.1</v>
      </c>
      <c r="N9" s="9">
        <f>MAX(B9:M9)</f>
        <v/>
      </c>
    </row>
    <row r="10">
      <c r="A10" s="7" t="inlineStr">
        <is>
          <t>Apsolutni minimum</t>
        </is>
      </c>
      <c r="B10" s="8" t="n">
        <v>-5.8</v>
      </c>
      <c r="C10" s="8" t="n">
        <v>-4.9</v>
      </c>
      <c r="D10" s="8" t="n">
        <v>-14.2</v>
      </c>
      <c r="E10" s="8" t="n">
        <v>-1.9</v>
      </c>
      <c r="F10" s="8" t="n">
        <v>3.7</v>
      </c>
      <c r="G10" s="8" t="n">
        <v>9.1</v>
      </c>
      <c r="H10" s="8" t="n">
        <v>14.3</v>
      </c>
      <c r="I10" s="8" t="n">
        <v>8.800000000000001</v>
      </c>
      <c r="J10" s="8" t="n">
        <v>3.4</v>
      </c>
      <c r="K10" s="8" t="n">
        <v>0.9</v>
      </c>
      <c r="L10" s="8" t="n">
        <v>-5.7</v>
      </c>
      <c r="M10" s="8" t="n">
        <v>-3.2</v>
      </c>
      <c r="N10" s="9">
        <f>MIN(B10:M10)</f>
        <v/>
      </c>
    </row>
    <row r="11">
      <c r="A11" s="7" t="inlineStr">
        <is>
          <t>Sr. br. mraznih dana</t>
        </is>
      </c>
      <c r="B11" s="10" t="n">
        <v>22</v>
      </c>
      <c r="C11" s="10" t="n">
        <v>11</v>
      </c>
      <c r="D11" s="10" t="n">
        <v>10</v>
      </c>
      <c r="E11" s="10" t="n">
        <v>6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14</v>
      </c>
      <c r="M11" s="10" t="n">
        <v>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20</v>
      </c>
      <c r="I12" s="10" t="n">
        <v>6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74.7</v>
      </c>
      <c r="C14" s="8" t="n">
        <v>78.3</v>
      </c>
      <c r="D14" s="8" t="n">
        <v>75.09999999999999</v>
      </c>
      <c r="E14" s="8" t="n">
        <v>70.7</v>
      </c>
      <c r="F14" s="8" t="n">
        <v>72.7</v>
      </c>
      <c r="G14" s="8" t="n">
        <v>71.40000000000001</v>
      </c>
      <c r="H14" s="8" t="n">
        <v>61.4</v>
      </c>
      <c r="I14" s="8" t="n">
        <v>70.09999999999999</v>
      </c>
      <c r="J14" s="8" t="n">
        <v>78.40000000000001</v>
      </c>
      <c r="K14" s="8" t="n">
        <v>74.59999999999999</v>
      </c>
      <c r="L14" s="8" t="n">
        <v>75.40000000000001</v>
      </c>
      <c r="M14" s="8" t="n">
        <v>86.3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170.7</v>
      </c>
      <c r="C16" s="8" t="n">
        <v>235.7</v>
      </c>
      <c r="D16" s="8" t="n">
        <v>273.7</v>
      </c>
      <c r="E16" s="8" t="n">
        <v>333.9</v>
      </c>
      <c r="F16" s="8" t="n">
        <v>389.7</v>
      </c>
      <c r="G16" s="8" t="n">
        <v>402.5</v>
      </c>
      <c r="H16" s="8" t="n">
        <v>413.3</v>
      </c>
      <c r="I16" s="8" t="n">
        <v>360</v>
      </c>
      <c r="J16" s="8" t="n">
        <v>313.3</v>
      </c>
      <c r="K16" s="8" t="n">
        <v>326.8</v>
      </c>
      <c r="L16" s="8" t="n">
        <v>196</v>
      </c>
      <c r="M16" s="8" t="n">
        <v>145.9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8</v>
      </c>
      <c r="D17" s="10" t="n">
        <v>3</v>
      </c>
      <c r="E17" s="10" t="n">
        <v>8</v>
      </c>
      <c r="F17" s="10" t="n">
        <v>4</v>
      </c>
      <c r="G17" s="10" t="n">
        <v>12</v>
      </c>
      <c r="H17" s="10" t="n">
        <v>17</v>
      </c>
      <c r="I17" s="10" t="n">
        <v>10</v>
      </c>
      <c r="J17" s="10" t="n">
        <v>7</v>
      </c>
      <c r="K17" s="10" t="n">
        <v>21</v>
      </c>
      <c r="L17" s="10" t="n">
        <v>8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6</v>
      </c>
      <c r="D18" s="10" t="n">
        <v>11</v>
      </c>
      <c r="E18" s="10" t="n">
        <v>9</v>
      </c>
      <c r="F18" s="10" t="n">
        <v>5</v>
      </c>
      <c r="G18" s="10" t="n">
        <v>0</v>
      </c>
      <c r="H18" s="10" t="n">
        <v>1</v>
      </c>
      <c r="I18" s="10" t="n">
        <v>3</v>
      </c>
      <c r="J18" s="10" t="n">
        <v>4</v>
      </c>
      <c r="K18" s="10" t="n">
        <v>1</v>
      </c>
      <c r="L18" s="10" t="n">
        <v>10</v>
      </c>
      <c r="M18" s="10" t="n">
        <v>18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144.6</v>
      </c>
      <c r="C20" s="8" t="n">
        <v>79</v>
      </c>
      <c r="D20" s="8" t="n">
        <v>200.2</v>
      </c>
      <c r="E20" s="8" t="n">
        <v>100</v>
      </c>
      <c r="F20" s="8" t="n">
        <v>130.8</v>
      </c>
      <c r="G20" s="8" t="n">
        <v>107.2</v>
      </c>
      <c r="H20" s="8" t="n">
        <v>59.7</v>
      </c>
      <c r="I20" s="8" t="n">
        <v>185.1</v>
      </c>
      <c r="J20" s="8" t="n">
        <v>200.9</v>
      </c>
      <c r="K20" s="8" t="n">
        <v>4.7</v>
      </c>
      <c r="L20" s="8" t="n">
        <v>119</v>
      </c>
      <c r="M20" s="8" t="n">
        <v>319</v>
      </c>
      <c r="N20" s="9">
        <f>SUM(B20:M20)</f>
        <v/>
      </c>
    </row>
    <row r="21">
      <c r="A21" s="7" t="inlineStr">
        <is>
          <t>Max. dnevna suma</t>
        </is>
      </c>
      <c r="B21" s="8" t="n">
        <v>26.6</v>
      </c>
      <c r="C21" s="8" t="n">
        <v>15.5</v>
      </c>
      <c r="D21" s="8" t="n">
        <v>43</v>
      </c>
      <c r="E21" s="8" t="n">
        <v>28</v>
      </c>
      <c r="F21" s="8" t="n">
        <v>41.1</v>
      </c>
      <c r="G21" s="8" t="n">
        <v>22.2</v>
      </c>
      <c r="H21" s="8" t="n">
        <v>33.8</v>
      </c>
      <c r="I21" s="8" t="n">
        <v>62.5</v>
      </c>
      <c r="J21" s="8" t="n">
        <v>82.09999999999999</v>
      </c>
      <c r="K21" s="8" t="n">
        <v>4.2</v>
      </c>
      <c r="L21" s="8" t="n">
        <v>24.8</v>
      </c>
      <c r="M21" s="8" t="n">
        <v>64.7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23</v>
      </c>
      <c r="C22" s="10" t="n">
        <v>14</v>
      </c>
      <c r="D22" s="10" t="n">
        <v>20</v>
      </c>
      <c r="E22" s="10" t="n">
        <v>12</v>
      </c>
      <c r="F22" s="10" t="n">
        <v>20</v>
      </c>
      <c r="G22" s="10" t="n">
        <v>15</v>
      </c>
      <c r="H22" s="10" t="n">
        <v>8</v>
      </c>
      <c r="I22" s="10" t="n">
        <v>20</v>
      </c>
      <c r="J22" s="10" t="n">
        <v>16</v>
      </c>
      <c r="K22" s="10" t="n">
        <v>2</v>
      </c>
      <c r="L22" s="10" t="n">
        <v>15</v>
      </c>
      <c r="M22" s="10" t="n">
        <v>18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1</v>
      </c>
      <c r="D23" s="10" t="n">
        <v>8</v>
      </c>
      <c r="E23" s="10" t="n">
        <v>3</v>
      </c>
      <c r="F23" s="10" t="n">
        <v>4</v>
      </c>
      <c r="G23" s="10" t="n">
        <v>5</v>
      </c>
      <c r="H23" s="10" t="n">
        <v>2</v>
      </c>
      <c r="I23" s="10" t="n">
        <v>5</v>
      </c>
      <c r="J23" s="10" t="n">
        <v>7</v>
      </c>
      <c r="K23" s="10" t="n">
        <v>0</v>
      </c>
      <c r="L23" s="10" t="n">
        <v>4</v>
      </c>
      <c r="M23" s="10" t="n">
        <v>13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7</v>
      </c>
      <c r="C25" s="10" t="n">
        <v>0</v>
      </c>
      <c r="D25" s="10" t="n">
        <v>3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7</v>
      </c>
      <c r="C26" s="10" t="n">
        <v>0</v>
      </c>
      <c r="D26" s="10" t="n">
        <v>3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1996.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4.6</v>
      </c>
      <c r="C6" s="8" t="n">
        <v>2.3</v>
      </c>
      <c r="D6" s="8" t="n">
        <v>5.1</v>
      </c>
      <c r="E6" s="8" t="n">
        <v>11</v>
      </c>
      <c r="F6" s="8" t="n">
        <v>16.7</v>
      </c>
      <c r="G6" s="8" t="n">
        <v>21.3</v>
      </c>
      <c r="H6" s="8" t="n">
        <v>22.8</v>
      </c>
      <c r="I6" s="8" t="n">
        <v>22.7</v>
      </c>
      <c r="J6" s="8" t="n">
        <v>15.1</v>
      </c>
      <c r="K6" s="8" t="n">
        <v>12.5</v>
      </c>
      <c r="L6" s="8" t="n">
        <v>9.5</v>
      </c>
      <c r="M6" s="8" t="n">
        <v>4.6</v>
      </c>
      <c r="N6" s="9">
        <f>AVERAGE(B6:M6)</f>
        <v/>
      </c>
    </row>
    <row r="7">
      <c r="A7" s="7" t="inlineStr">
        <is>
          <t>Srednja maksimalna</t>
        </is>
      </c>
      <c r="B7" s="8" t="n">
        <v>8.9</v>
      </c>
      <c r="C7" s="8" t="n">
        <v>7.7</v>
      </c>
      <c r="D7" s="8" t="n">
        <v>10.6</v>
      </c>
      <c r="E7" s="8" t="n">
        <v>16.6</v>
      </c>
      <c r="F7" s="8" t="n">
        <v>21.6</v>
      </c>
      <c r="G7" s="8" t="n">
        <v>27</v>
      </c>
      <c r="H7" s="8" t="n">
        <v>28.9</v>
      </c>
      <c r="I7" s="8" t="n">
        <v>28.4</v>
      </c>
      <c r="J7" s="8" t="n">
        <v>19.8</v>
      </c>
      <c r="K7" s="8" t="n">
        <v>17.4</v>
      </c>
      <c r="L7" s="8" t="n">
        <v>14</v>
      </c>
      <c r="M7" s="8" t="n">
        <v>9.6</v>
      </c>
      <c r="N7" s="9">
        <f>AVERAGE(B7:M7)</f>
        <v/>
      </c>
    </row>
    <row r="8">
      <c r="A8" s="7" t="inlineStr">
        <is>
          <t>Srednja minimalna</t>
        </is>
      </c>
      <c r="B8" s="8" t="n">
        <v>1</v>
      </c>
      <c r="C8" s="8" t="n">
        <v>-2.8</v>
      </c>
      <c r="D8" s="8" t="n">
        <v>-0</v>
      </c>
      <c r="E8" s="8" t="n">
        <v>4.4</v>
      </c>
      <c r="F8" s="8" t="n">
        <v>11</v>
      </c>
      <c r="G8" s="8" t="n">
        <v>14</v>
      </c>
      <c r="H8" s="8" t="n">
        <v>14.9</v>
      </c>
      <c r="I8" s="8" t="n">
        <v>16</v>
      </c>
      <c r="J8" s="8" t="n">
        <v>10.5</v>
      </c>
      <c r="K8" s="8" t="n">
        <v>7.9</v>
      </c>
      <c r="L8" s="8" t="n">
        <v>5</v>
      </c>
      <c r="M8" s="8" t="n">
        <v>0.3</v>
      </c>
      <c r="N8" s="9">
        <f>AVERAGE(B8:M8)</f>
        <v/>
      </c>
    </row>
    <row r="9">
      <c r="A9" s="7" t="inlineStr">
        <is>
          <t>Apsolutni maksimum</t>
        </is>
      </c>
      <c r="B9" s="8" t="n">
        <v>12.7</v>
      </c>
      <c r="C9" s="8" t="n">
        <v>12</v>
      </c>
      <c r="D9" s="8" t="n">
        <v>15.2</v>
      </c>
      <c r="E9" s="8" t="n">
        <v>21.3</v>
      </c>
      <c r="F9" s="8" t="n">
        <v>26.1</v>
      </c>
      <c r="G9" s="8" t="n">
        <v>33.4</v>
      </c>
      <c r="H9" s="8" t="n">
        <v>33.3</v>
      </c>
      <c r="I9" s="8" t="n">
        <v>32.6</v>
      </c>
      <c r="J9" s="8" t="n">
        <v>23</v>
      </c>
      <c r="K9" s="8" t="n">
        <v>22.8</v>
      </c>
      <c r="L9" s="8" t="n">
        <v>19.7</v>
      </c>
      <c r="M9" s="8" t="n">
        <v>14.4</v>
      </c>
      <c r="N9" s="9">
        <f>MAX(B9:M9)</f>
        <v/>
      </c>
    </row>
    <row r="10">
      <c r="A10" s="7" t="inlineStr">
        <is>
          <t>Apsolutni minimum</t>
        </is>
      </c>
      <c r="B10" s="8" t="n">
        <v>-4.7</v>
      </c>
      <c r="C10" s="8" t="n">
        <v>-12.6</v>
      </c>
      <c r="D10" s="8" t="n">
        <v>-5.5</v>
      </c>
      <c r="E10" s="8" t="n">
        <v>-3.2</v>
      </c>
      <c r="F10" s="8" t="n">
        <v>8.1</v>
      </c>
      <c r="G10" s="8" t="n">
        <v>10.7</v>
      </c>
      <c r="H10" s="8" t="n">
        <v>10.8</v>
      </c>
      <c r="I10" s="8" t="n">
        <v>13.1</v>
      </c>
      <c r="J10" s="8" t="n">
        <v>5.2</v>
      </c>
      <c r="K10" s="8" t="n">
        <v>-0.4</v>
      </c>
      <c r="L10" s="8" t="n">
        <v>-3</v>
      </c>
      <c r="M10" s="8" t="n">
        <v>-8.800000000000001</v>
      </c>
      <c r="N10" s="9">
        <f>MIN(B10:M10)</f>
        <v/>
      </c>
    </row>
    <row r="11">
      <c r="A11" s="7" t="inlineStr">
        <is>
          <t>Sr. br. mraznih dana</t>
        </is>
      </c>
      <c r="B11" s="10" t="n">
        <v>14</v>
      </c>
      <c r="C11" s="10" t="n">
        <v>24</v>
      </c>
      <c r="D11" s="10" t="n">
        <v>16</v>
      </c>
      <c r="E11" s="10" t="n">
        <v>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4</v>
      </c>
      <c r="M11" s="10" t="n">
        <v>14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7</v>
      </c>
      <c r="H12" s="10" t="n">
        <v>11</v>
      </c>
      <c r="I12" s="10" t="n">
        <v>10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79.2</v>
      </c>
      <c r="C14" s="8" t="n">
        <v>75.2</v>
      </c>
      <c r="D14" s="8" t="n">
        <v>72.40000000000001</v>
      </c>
      <c r="E14" s="8" t="n">
        <v>71.8</v>
      </c>
      <c r="F14" s="8" t="n">
        <v>75.3</v>
      </c>
      <c r="G14" s="8" t="n">
        <v>62</v>
      </c>
      <c r="H14" s="8" t="n">
        <v>52</v>
      </c>
      <c r="I14" s="8" t="n">
        <v>64.5</v>
      </c>
      <c r="J14" s="8" t="n">
        <v>77.40000000000001</v>
      </c>
      <c r="K14" s="8" t="n">
        <v>79.90000000000001</v>
      </c>
      <c r="L14" s="8" t="n">
        <v>84</v>
      </c>
      <c r="M14" s="8" t="n">
        <v>81.90000000000001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167.3</v>
      </c>
      <c r="C16" s="8" t="n">
        <v>198.9</v>
      </c>
      <c r="D16" s="8" t="n">
        <v>288.6</v>
      </c>
      <c r="E16" s="8" t="n">
        <v>295.3</v>
      </c>
      <c r="F16" s="8" t="n">
        <v>355.4</v>
      </c>
      <c r="G16" s="8" t="n">
        <v>410.2</v>
      </c>
      <c r="H16" s="8" t="n">
        <v>430.3</v>
      </c>
      <c r="I16" s="8" t="n">
        <v>387</v>
      </c>
      <c r="J16" s="8" t="n">
        <v>268.8</v>
      </c>
      <c r="K16" s="8" t="n">
        <v>243.4</v>
      </c>
      <c r="L16" s="8" t="n">
        <v>189</v>
      </c>
      <c r="M16" s="8" t="n">
        <v>169.9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7</v>
      </c>
      <c r="D17" s="10" t="n">
        <v>6</v>
      </c>
      <c r="E17" s="10" t="n">
        <v>6</v>
      </c>
      <c r="F17" s="10" t="n">
        <v>5</v>
      </c>
      <c r="G17" s="10" t="n">
        <v>11</v>
      </c>
      <c r="H17" s="10" t="n">
        <v>18</v>
      </c>
      <c r="I17" s="10" t="n">
        <v>17</v>
      </c>
      <c r="J17" s="10" t="n">
        <v>7</v>
      </c>
      <c r="K17" s="10" t="n">
        <v>7</v>
      </c>
      <c r="L17" s="10" t="n">
        <v>4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13</v>
      </c>
      <c r="D18" s="10" t="n">
        <v>10</v>
      </c>
      <c r="E18" s="10" t="n">
        <v>11</v>
      </c>
      <c r="F18" s="10" t="n">
        <v>10</v>
      </c>
      <c r="G18" s="10" t="n">
        <v>0</v>
      </c>
      <c r="H18" s="10" t="n">
        <v>0</v>
      </c>
      <c r="I18" s="10" t="n">
        <v>1</v>
      </c>
      <c r="J18" s="10" t="n">
        <v>11</v>
      </c>
      <c r="K18" s="10" t="n">
        <v>10</v>
      </c>
      <c r="L18" s="10" t="n">
        <v>11</v>
      </c>
      <c r="M18" s="10" t="n">
        <v>14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199.5</v>
      </c>
      <c r="C20" s="8" t="n">
        <v>171.4</v>
      </c>
      <c r="D20" s="8" t="n">
        <v>125.1</v>
      </c>
      <c r="E20" s="8" t="n">
        <v>186.2</v>
      </c>
      <c r="F20" s="8" t="n">
        <v>107.3</v>
      </c>
      <c r="G20" s="8" t="n">
        <v>42.5</v>
      </c>
      <c r="H20" s="8" t="n">
        <v>8.699999999999999</v>
      </c>
      <c r="I20" s="8" t="n">
        <v>114.2</v>
      </c>
      <c r="J20" s="8" t="n">
        <v>301</v>
      </c>
      <c r="K20" s="8" t="n">
        <v>198</v>
      </c>
      <c r="L20" s="8" t="n">
        <v>326.5</v>
      </c>
      <c r="M20" s="8" t="n">
        <v>197.7</v>
      </c>
      <c r="N20" s="9">
        <f>SUM(B20:M20)</f>
        <v/>
      </c>
    </row>
    <row r="21">
      <c r="A21" s="7" t="inlineStr">
        <is>
          <t>Max. dnevna suma</t>
        </is>
      </c>
      <c r="B21" s="8" t="n">
        <v>67.8</v>
      </c>
      <c r="C21" s="8" t="n">
        <v>45.3</v>
      </c>
      <c r="D21" s="8" t="n">
        <v>43.7</v>
      </c>
      <c r="E21" s="8" t="n">
        <v>54.4</v>
      </c>
      <c r="F21" s="8" t="n">
        <v>22.8</v>
      </c>
      <c r="G21" s="8" t="n">
        <v>18.6</v>
      </c>
      <c r="H21" s="8" t="n">
        <v>3.2</v>
      </c>
      <c r="I21" s="8" t="n">
        <v>39.2</v>
      </c>
      <c r="J21" s="8" t="n">
        <v>64.59999999999999</v>
      </c>
      <c r="K21" s="8" t="n">
        <v>66.90000000000001</v>
      </c>
      <c r="L21" s="8" t="n">
        <v>53.5</v>
      </c>
      <c r="M21" s="8" t="n">
        <v>26.4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15</v>
      </c>
      <c r="D22" s="10" t="n">
        <v>17</v>
      </c>
      <c r="E22" s="10" t="n">
        <v>15</v>
      </c>
      <c r="F22" s="10" t="n">
        <v>20</v>
      </c>
      <c r="G22" s="10" t="n">
        <v>12</v>
      </c>
      <c r="H22" s="10" t="n">
        <v>8</v>
      </c>
      <c r="I22" s="10" t="n">
        <v>15</v>
      </c>
      <c r="J22" s="10" t="n">
        <v>19</v>
      </c>
      <c r="K22" s="10" t="n">
        <v>21</v>
      </c>
      <c r="L22" s="10" t="n">
        <v>20</v>
      </c>
      <c r="M22" s="10" t="n">
        <v>22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6</v>
      </c>
      <c r="D23" s="10" t="n">
        <v>4</v>
      </c>
      <c r="E23" s="10" t="n">
        <v>4</v>
      </c>
      <c r="F23" s="10" t="n">
        <v>3</v>
      </c>
      <c r="G23" s="10" t="n">
        <v>1</v>
      </c>
      <c r="H23" s="10" t="n">
        <v>0</v>
      </c>
      <c r="I23" s="10" t="n">
        <v>3</v>
      </c>
      <c r="J23" s="10" t="n">
        <v>10</v>
      </c>
      <c r="K23" s="10" t="n">
        <v>8</v>
      </c>
      <c r="L23" s="10" t="n">
        <v>8</v>
      </c>
      <c r="M23" s="10" t="n">
        <v>9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4</v>
      </c>
      <c r="D25" s="10" t="n">
        <v>2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6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4</v>
      </c>
      <c r="D26" s="10" t="n">
        <v>2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6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1997.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5.1</v>
      </c>
      <c r="C6" s="8" t="n">
        <v>4.8</v>
      </c>
      <c r="D6" s="8" t="n">
        <v>7.4</v>
      </c>
      <c r="E6" s="8" t="n">
        <v>7.7</v>
      </c>
      <c r="F6" s="8" t="n">
        <v>16.4</v>
      </c>
      <c r="G6" s="8" t="n">
        <v>21.5</v>
      </c>
      <c r="H6" s="8" t="n">
        <v>22.6</v>
      </c>
      <c r="I6" s="8" t="n">
        <v>22.4</v>
      </c>
      <c r="J6" s="8" t="n">
        <v>19.5</v>
      </c>
      <c r="K6" s="8" t="n">
        <v>11.7</v>
      </c>
      <c r="L6" s="8" t="n">
        <v>9.300000000000001</v>
      </c>
      <c r="M6" s="8" t="n">
        <v>5.1</v>
      </c>
      <c r="N6" s="9">
        <f>AVERAGE(B6:M6)</f>
        <v/>
      </c>
    </row>
    <row r="7">
      <c r="A7" s="7" t="inlineStr">
        <is>
          <t>Srednja maksimalna</t>
        </is>
      </c>
      <c r="B7" s="8" t="n">
        <v>11</v>
      </c>
      <c r="C7" s="8" t="n">
        <v>10.7</v>
      </c>
      <c r="D7" s="8" t="n">
        <v>14</v>
      </c>
      <c r="E7" s="8" t="n">
        <v>13</v>
      </c>
      <c r="F7" s="8" t="n">
        <v>22.3</v>
      </c>
      <c r="G7" s="8" t="n">
        <v>26.9</v>
      </c>
      <c r="H7" s="8" t="n">
        <v>28.4</v>
      </c>
      <c r="I7" s="8" t="n">
        <v>28.4</v>
      </c>
      <c r="J7" s="8" t="n">
        <v>26.1</v>
      </c>
      <c r="K7" s="8" t="n">
        <v>16.9</v>
      </c>
      <c r="L7" s="8" t="n">
        <v>13.8</v>
      </c>
      <c r="M7" s="8" t="n">
        <v>9.699999999999999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0.3</v>
      </c>
      <c r="C8" s="8" t="n">
        <v>-0.6</v>
      </c>
      <c r="D8" s="8" t="n">
        <v>0.7</v>
      </c>
      <c r="E8" s="8" t="n">
        <v>1.3</v>
      </c>
      <c r="F8" s="8" t="n">
        <v>9.199999999999999</v>
      </c>
      <c r="G8" s="8" t="n">
        <v>14.5</v>
      </c>
      <c r="H8" s="8" t="n">
        <v>15.4</v>
      </c>
      <c r="I8" s="8" t="n">
        <v>15.4</v>
      </c>
      <c r="J8" s="8" t="n">
        <v>12.3</v>
      </c>
      <c r="K8" s="8" t="n">
        <v>6.4</v>
      </c>
      <c r="L8" s="8" t="n">
        <v>5.1</v>
      </c>
      <c r="M8" s="8" t="n">
        <v>1.2</v>
      </c>
      <c r="N8" s="9">
        <f>AVERAGE(B8:M8)</f>
        <v/>
      </c>
    </row>
    <row r="9">
      <c r="A9" s="7" t="inlineStr">
        <is>
          <t>Apsolutni maksimum</t>
        </is>
      </c>
      <c r="B9" s="8" t="n">
        <v>13.6</v>
      </c>
      <c r="C9" s="8" t="n">
        <v>14.8</v>
      </c>
      <c r="D9" s="8" t="n">
        <v>20.2</v>
      </c>
      <c r="E9" s="8" t="n">
        <v>17.8</v>
      </c>
      <c r="F9" s="8" t="n">
        <v>29.4</v>
      </c>
      <c r="G9" s="8" t="n">
        <v>32.6</v>
      </c>
      <c r="H9" s="8" t="n">
        <v>32.4</v>
      </c>
      <c r="I9" s="8" t="n">
        <v>32</v>
      </c>
      <c r="J9" s="8" t="n">
        <v>30.3</v>
      </c>
      <c r="K9" s="8" t="n">
        <v>23.8</v>
      </c>
      <c r="L9" s="8" t="n">
        <v>16.8</v>
      </c>
      <c r="M9" s="8" t="n">
        <v>13.4</v>
      </c>
      <c r="N9" s="9">
        <f>MAX(B9:M9)</f>
        <v/>
      </c>
    </row>
    <row r="10">
      <c r="A10" s="7" t="inlineStr">
        <is>
          <t>Apsolutni minimum</t>
        </is>
      </c>
      <c r="B10" s="8" t="n">
        <v>-4.3</v>
      </c>
      <c r="C10" s="8" t="n">
        <v>-5.3</v>
      </c>
      <c r="D10" s="8" t="n">
        <v>-3.2</v>
      </c>
      <c r="E10" s="8" t="n">
        <v>-3.2</v>
      </c>
      <c r="F10" s="8" t="n">
        <v>4.3</v>
      </c>
      <c r="G10" s="8" t="n">
        <v>4.5</v>
      </c>
      <c r="H10" s="8" t="n">
        <v>12.1</v>
      </c>
      <c r="I10" s="8" t="n">
        <v>12.3</v>
      </c>
      <c r="J10" s="8" t="n">
        <v>6.9</v>
      </c>
      <c r="K10" s="8" t="n">
        <v>-0.7</v>
      </c>
      <c r="L10" s="8" t="n">
        <v>-3</v>
      </c>
      <c r="M10" s="8" t="n">
        <v>-4</v>
      </c>
      <c r="N10" s="9">
        <f>MIN(B10:M10)</f>
        <v/>
      </c>
    </row>
    <row r="11">
      <c r="A11" s="7" t="inlineStr">
        <is>
          <t>Sr. br. mraznih dana</t>
        </is>
      </c>
      <c r="B11" s="10" t="n">
        <v>16</v>
      </c>
      <c r="C11" s="10" t="n">
        <v>19</v>
      </c>
      <c r="D11" s="10" t="n">
        <v>12</v>
      </c>
      <c r="E11" s="10" t="n">
        <v>11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2</v>
      </c>
      <c r="L11" s="10" t="n">
        <v>6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10</v>
      </c>
      <c r="I12" s="10" t="n">
        <v>11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81.09999999999999</v>
      </c>
      <c r="C14" s="8" t="n">
        <v>72.8</v>
      </c>
      <c r="D14" s="8" t="n">
        <v>63</v>
      </c>
      <c r="E14" s="8" t="n">
        <v>65.8</v>
      </c>
      <c r="F14" s="8" t="n">
        <v>68.2</v>
      </c>
      <c r="G14" s="8" t="n">
        <v>61.9</v>
      </c>
      <c r="H14" s="8" t="n">
        <v>57.8</v>
      </c>
      <c r="I14" s="8" t="n">
        <v>59.8</v>
      </c>
      <c r="J14" s="8" t="n">
        <v>61</v>
      </c>
      <c r="K14" s="8" t="n">
        <v>69.90000000000001</v>
      </c>
      <c r="L14" s="8" t="n">
        <v>81.5</v>
      </c>
      <c r="M14" s="8" t="n">
        <v>81.59999999999999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212.2</v>
      </c>
      <c r="C16" s="8" t="n">
        <v>226.7</v>
      </c>
      <c r="D16" s="8" t="n">
        <v>324.9</v>
      </c>
      <c r="E16" s="8" t="n">
        <v>310.9</v>
      </c>
      <c r="F16" s="8" t="n">
        <v>405</v>
      </c>
      <c r="G16" s="8" t="n">
        <v>398.5</v>
      </c>
      <c r="H16" s="8" t="n">
        <v>422.8</v>
      </c>
      <c r="I16" s="8" t="n">
        <v>402.8</v>
      </c>
      <c r="J16" s="8" t="n">
        <v>336.4</v>
      </c>
      <c r="K16" s="8" t="n">
        <v>240.9</v>
      </c>
      <c r="L16" s="8" t="n">
        <v>179.2</v>
      </c>
      <c r="M16" s="8" t="n">
        <v>171.2</v>
      </c>
      <c r="N16" s="9">
        <f>SUM(B16:M16)</f>
        <v/>
      </c>
    </row>
    <row r="17">
      <c r="A17" s="7" t="inlineStr">
        <is>
          <t>Broj vedrih dana</t>
        </is>
      </c>
      <c r="B17" s="10" t="n">
        <v>12</v>
      </c>
      <c r="C17" s="10" t="n">
        <v>11</v>
      </c>
      <c r="D17" s="10" t="n">
        <v>12</v>
      </c>
      <c r="E17" s="10" t="n">
        <v>6</v>
      </c>
      <c r="F17" s="10" t="n">
        <v>14</v>
      </c>
      <c r="G17" s="10" t="n">
        <v>7</v>
      </c>
      <c r="H17" s="10" t="n">
        <v>16</v>
      </c>
      <c r="I17" s="10" t="n">
        <v>14</v>
      </c>
      <c r="J17" s="10" t="n">
        <v>18</v>
      </c>
      <c r="K17" s="10" t="n">
        <v>7</v>
      </c>
      <c r="L17" s="10" t="n">
        <v>5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8</v>
      </c>
      <c r="D18" s="10" t="n">
        <v>4</v>
      </c>
      <c r="E18" s="10" t="n">
        <v>7</v>
      </c>
      <c r="F18" s="10" t="n">
        <v>1</v>
      </c>
      <c r="G18" s="10" t="n">
        <v>3</v>
      </c>
      <c r="H18" s="10" t="n">
        <v>0</v>
      </c>
      <c r="I18" s="10" t="n">
        <v>2</v>
      </c>
      <c r="J18" s="10" t="n">
        <v>2</v>
      </c>
      <c r="K18" s="10" t="n">
        <v>10</v>
      </c>
      <c r="L18" s="10" t="n">
        <v>12</v>
      </c>
      <c r="M18" s="10" t="n">
        <v>16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90.3</v>
      </c>
      <c r="C20" s="8" t="n">
        <v>73.09999999999999</v>
      </c>
      <c r="D20" s="8" t="n">
        <v>51.8</v>
      </c>
      <c r="E20" s="8" t="n">
        <v>134</v>
      </c>
      <c r="F20" s="8" t="n">
        <v>69.09999999999999</v>
      </c>
      <c r="G20" s="8" t="n">
        <v>17.5</v>
      </c>
      <c r="H20" s="8" t="n">
        <v>40.6</v>
      </c>
      <c r="I20" s="8" t="n">
        <v>44.6</v>
      </c>
      <c r="J20" s="8" t="n">
        <v>15.4</v>
      </c>
      <c r="K20" s="8" t="n">
        <v>121.6</v>
      </c>
      <c r="L20" s="8" t="n">
        <v>210.9</v>
      </c>
      <c r="M20" s="8" t="n">
        <v>144.5</v>
      </c>
      <c r="N20" s="9">
        <f>SUM(B20:M20)</f>
        <v/>
      </c>
    </row>
    <row r="21">
      <c r="A21" s="7" t="inlineStr">
        <is>
          <t>Max. dnevna suma</t>
        </is>
      </c>
      <c r="B21" s="8" t="n">
        <v>21.7</v>
      </c>
      <c r="C21" s="8" t="n">
        <v>18.4</v>
      </c>
      <c r="D21" s="8" t="n">
        <v>19.2</v>
      </c>
      <c r="E21" s="8" t="n">
        <v>46.5</v>
      </c>
      <c r="F21" s="8" t="n">
        <v>23.2</v>
      </c>
      <c r="G21" s="8" t="n">
        <v>5.9</v>
      </c>
      <c r="H21" s="8" t="n">
        <v>21.7</v>
      </c>
      <c r="I21" s="8" t="n">
        <v>18.9</v>
      </c>
      <c r="J21" s="8" t="n">
        <v>13.8</v>
      </c>
      <c r="K21" s="8" t="n">
        <v>31.1</v>
      </c>
      <c r="L21" s="8" t="n">
        <v>63.7</v>
      </c>
      <c r="M21" s="8" t="n">
        <v>46.3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10</v>
      </c>
      <c r="D22" s="10" t="n">
        <v>6</v>
      </c>
      <c r="E22" s="10" t="n">
        <v>16</v>
      </c>
      <c r="F22" s="10" t="n">
        <v>12</v>
      </c>
      <c r="G22" s="10" t="n">
        <v>9</v>
      </c>
      <c r="H22" s="10" t="n">
        <v>11</v>
      </c>
      <c r="I22" s="10" t="n">
        <v>14</v>
      </c>
      <c r="J22" s="10" t="n">
        <v>4</v>
      </c>
      <c r="K22" s="10" t="n">
        <v>14</v>
      </c>
      <c r="L22" s="10" t="n">
        <v>16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4</v>
      </c>
      <c r="D23" s="10" t="n">
        <v>3</v>
      </c>
      <c r="E23" s="10" t="n">
        <v>4</v>
      </c>
      <c r="F23" s="10" t="n">
        <v>2</v>
      </c>
      <c r="G23" s="10" t="n">
        <v>0</v>
      </c>
      <c r="H23" s="10" t="n">
        <v>1</v>
      </c>
      <c r="I23" s="10" t="n">
        <v>1</v>
      </c>
      <c r="J23" s="10" t="n">
        <v>1</v>
      </c>
      <c r="K23" s="10" t="n">
        <v>3</v>
      </c>
      <c r="L23" s="10" t="n">
        <v>8</v>
      </c>
      <c r="M23" s="10" t="n">
        <v>6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1</v>
      </c>
      <c r="D25" s="10" t="n">
        <v>1</v>
      </c>
      <c r="E25" s="10" t="n">
        <v>3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1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1</v>
      </c>
      <c r="D26" s="10" t="n">
        <v>1</v>
      </c>
      <c r="E26" s="10" t="n">
        <v>3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1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1998.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4.8</v>
      </c>
      <c r="C6" s="8" t="n">
        <v>5.6</v>
      </c>
      <c r="D6" s="8" t="n">
        <v>5.7</v>
      </c>
      <c r="E6" s="8" t="n">
        <v>11.8</v>
      </c>
      <c r="F6" s="8" t="n">
        <v>16</v>
      </c>
      <c r="G6" s="8" t="n">
        <v>21.3</v>
      </c>
      <c r="H6" s="8" t="n">
        <v>24.7</v>
      </c>
      <c r="I6" s="8" t="n">
        <v>25</v>
      </c>
      <c r="J6" s="8" t="n">
        <v>17.6</v>
      </c>
      <c r="K6" s="8" t="n">
        <v>14</v>
      </c>
      <c r="L6" s="8" t="n">
        <v>6.5</v>
      </c>
      <c r="M6" s="8" t="n">
        <v>2</v>
      </c>
      <c r="N6" s="9">
        <f>AVERAGE(B6:M6)</f>
        <v/>
      </c>
    </row>
    <row r="7">
      <c r="A7" s="7" t="inlineStr">
        <is>
          <t>Srednja maksimalna</t>
        </is>
      </c>
      <c r="B7" s="8" t="n">
        <v>9.800000000000001</v>
      </c>
      <c r="C7" s="8" t="n">
        <v>12.7</v>
      </c>
      <c r="D7" s="8" t="n">
        <v>11.5</v>
      </c>
      <c r="E7" s="8" t="n">
        <v>16.8</v>
      </c>
      <c r="F7" s="8" t="n">
        <v>21.2</v>
      </c>
      <c r="G7" s="8" t="n">
        <v>26.9</v>
      </c>
      <c r="H7" s="8" t="n">
        <v>30.8</v>
      </c>
      <c r="I7" s="8" t="n">
        <v>31.2</v>
      </c>
      <c r="J7" s="8" t="n">
        <v>22.6</v>
      </c>
      <c r="K7" s="8" t="n">
        <v>18.6</v>
      </c>
      <c r="L7" s="8" t="n">
        <v>10.5</v>
      </c>
      <c r="M7" s="8" t="n">
        <v>7.6</v>
      </c>
      <c r="N7" s="9">
        <f>AVERAGE(B7:M7)</f>
        <v/>
      </c>
    </row>
    <row r="8">
      <c r="A8" s="7" t="inlineStr">
        <is>
          <t>Srednja minimalna</t>
        </is>
      </c>
      <c r="B8" s="8" t="n">
        <v>0.7</v>
      </c>
      <c r="C8" s="8" t="n">
        <v>-0.7</v>
      </c>
      <c r="D8" s="8" t="n">
        <v>-0.3</v>
      </c>
      <c r="E8" s="8" t="n">
        <v>6.3</v>
      </c>
      <c r="F8" s="8" t="n">
        <v>9.9</v>
      </c>
      <c r="G8" s="8" t="n">
        <v>13.6</v>
      </c>
      <c r="H8" s="8" t="n">
        <v>16.6</v>
      </c>
      <c r="I8" s="8" t="n">
        <v>17.9</v>
      </c>
      <c r="J8" s="8" t="n">
        <v>12.3</v>
      </c>
      <c r="K8" s="8" t="n">
        <v>9.1</v>
      </c>
      <c r="L8" s="8" t="n">
        <v>2.8</v>
      </c>
      <c r="M8" s="8" t="n">
        <v>-2.2</v>
      </c>
      <c r="N8" s="9">
        <f>AVERAGE(B8:M8)</f>
        <v/>
      </c>
    </row>
    <row r="9">
      <c r="A9" s="7" t="inlineStr">
        <is>
          <t>Apsolutni maksimum</t>
        </is>
      </c>
      <c r="B9" s="8" t="n">
        <v>13.9</v>
      </c>
      <c r="C9" s="8" t="n">
        <v>18.5</v>
      </c>
      <c r="D9" s="8" t="n">
        <v>16.9</v>
      </c>
      <c r="E9" s="8" t="n">
        <v>22</v>
      </c>
      <c r="F9" s="8" t="n">
        <v>27.4</v>
      </c>
      <c r="G9" s="8" t="n">
        <v>33</v>
      </c>
      <c r="H9" s="8" t="n">
        <v>36.5</v>
      </c>
      <c r="I9" s="8" t="n">
        <v>37.4</v>
      </c>
      <c r="J9" s="8" t="n">
        <v>27.7</v>
      </c>
      <c r="K9" s="8" t="n">
        <v>25.3</v>
      </c>
      <c r="L9" s="8" t="n">
        <v>18.9</v>
      </c>
      <c r="M9" s="8" t="n">
        <v>12.6</v>
      </c>
      <c r="N9" s="9">
        <f>MAX(B9:M9)</f>
        <v/>
      </c>
    </row>
    <row r="10">
      <c r="A10" s="7" t="inlineStr">
        <is>
          <t>Apsolutni minimum</t>
        </is>
      </c>
      <c r="B10" s="8" t="n">
        <v>-5.8</v>
      </c>
      <c r="C10" s="8" t="n">
        <v>-4.1</v>
      </c>
      <c r="D10" s="8" t="n">
        <v>-3.7</v>
      </c>
      <c r="E10" s="8" t="n">
        <v>0.2</v>
      </c>
      <c r="F10" s="8" t="n">
        <v>6.5</v>
      </c>
      <c r="G10" s="8" t="n">
        <v>8.1</v>
      </c>
      <c r="H10" s="8" t="n">
        <v>10</v>
      </c>
      <c r="I10" s="8" t="n">
        <v>11.1</v>
      </c>
      <c r="J10" s="8" t="n">
        <v>7.6</v>
      </c>
      <c r="K10" s="8" t="n">
        <v>1.8</v>
      </c>
      <c r="L10" s="8" t="n">
        <v>-4.4</v>
      </c>
      <c r="M10" s="8" t="n">
        <v>-6.3</v>
      </c>
      <c r="N10" s="9">
        <f>MIN(B10:M10)</f>
        <v/>
      </c>
    </row>
    <row r="11">
      <c r="A11" s="7" t="inlineStr">
        <is>
          <t>Sr. br. mraznih dana</t>
        </is>
      </c>
      <c r="B11" s="10" t="n">
        <v>14</v>
      </c>
      <c r="C11" s="10" t="n">
        <v>16</v>
      </c>
      <c r="D11" s="10" t="n">
        <v>16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7</v>
      </c>
      <c r="M11" s="10" t="n">
        <v>25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7</v>
      </c>
      <c r="H12" s="10" t="n">
        <v>19</v>
      </c>
      <c r="I12" s="10" t="n">
        <v>19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</v>
      </c>
      <c r="C14" s="8" t="n">
        <v>72</v>
      </c>
      <c r="D14" s="8" t="n">
        <v>57.9</v>
      </c>
      <c r="E14" s="8" t="n">
        <v>76.59999999999999</v>
      </c>
      <c r="F14" s="8" t="n">
        <v>69.59999999999999</v>
      </c>
      <c r="G14" s="8" t="n">
        <v>68.3</v>
      </c>
      <c r="H14" s="8" t="n">
        <v>54.5</v>
      </c>
      <c r="I14" s="8" t="n">
        <v>56.7</v>
      </c>
      <c r="J14" s="8" t="n">
        <v>76</v>
      </c>
      <c r="K14" s="8" t="n">
        <v>79.7</v>
      </c>
      <c r="L14" s="8" t="n">
        <v>79.2</v>
      </c>
      <c r="M14" s="8" t="n">
        <v>73.59999999999999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210.2</v>
      </c>
      <c r="C16" s="8" t="n">
        <v>241.2</v>
      </c>
      <c r="D16" s="8" t="n">
        <v>341.5</v>
      </c>
      <c r="E16" s="8" t="n">
        <v>310.6</v>
      </c>
      <c r="F16" s="8" t="n">
        <v>370.7</v>
      </c>
      <c r="G16" s="8" t="n">
        <v>420.6</v>
      </c>
      <c r="H16" s="8" t="n">
        <v>428.4</v>
      </c>
      <c r="I16" s="8" t="n">
        <v>395.9</v>
      </c>
      <c r="J16" s="8" t="n">
        <v>315.5</v>
      </c>
      <c r="K16" s="8" t="n">
        <v>257.2</v>
      </c>
      <c r="L16" s="8" t="n">
        <v>175.6</v>
      </c>
      <c r="M16" s="8" t="n">
        <v>223.1</v>
      </c>
      <c r="N16" s="9">
        <f>SUM(B16:M16)</f>
        <v/>
      </c>
    </row>
    <row r="17">
      <c r="A17" s="7" t="inlineStr">
        <is>
          <t>Broj vedrih dana</t>
        </is>
      </c>
      <c r="B17" s="10" t="n">
        <v>10</v>
      </c>
      <c r="C17" s="10" t="n">
        <v>13</v>
      </c>
      <c r="D17" s="10" t="n">
        <v>11</v>
      </c>
      <c r="E17" s="10" t="n">
        <v>2</v>
      </c>
      <c r="F17" s="10" t="n">
        <v>5</v>
      </c>
      <c r="G17" s="10" t="n">
        <v>14</v>
      </c>
      <c r="H17" s="10" t="n">
        <v>26</v>
      </c>
      <c r="I17" s="10" t="n">
        <v>17</v>
      </c>
      <c r="J17" s="10" t="n">
        <v>9</v>
      </c>
      <c r="K17" s="10" t="n">
        <v>4</v>
      </c>
      <c r="L17" s="10" t="n">
        <v>2</v>
      </c>
      <c r="M17" s="10" t="n">
        <v>11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5</v>
      </c>
      <c r="D18" s="10" t="n">
        <v>2</v>
      </c>
      <c r="E18" s="10" t="n">
        <v>7</v>
      </c>
      <c r="F18" s="10" t="n">
        <v>7</v>
      </c>
      <c r="G18" s="10" t="n">
        <v>0</v>
      </c>
      <c r="H18" s="10" t="n">
        <v>0</v>
      </c>
      <c r="I18" s="10" t="n">
        <v>3</v>
      </c>
      <c r="J18" s="10" t="n">
        <v>4</v>
      </c>
      <c r="K18" s="10" t="n">
        <v>9</v>
      </c>
      <c r="L18" s="10" t="n">
        <v>13</v>
      </c>
      <c r="M18" s="10" t="n">
        <v>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89.2</v>
      </c>
      <c r="C20" s="8" t="n">
        <v>67</v>
      </c>
      <c r="D20" s="8" t="n">
        <v>10.5</v>
      </c>
      <c r="E20" s="8" t="n">
        <v>172.5</v>
      </c>
      <c r="F20" s="8" t="n">
        <v>105.9</v>
      </c>
      <c r="G20" s="8" t="n">
        <v>40.3</v>
      </c>
      <c r="H20" s="8" t="n">
        <v>17</v>
      </c>
      <c r="I20" s="8" t="n">
        <v>63.6</v>
      </c>
      <c r="J20" s="8" t="n">
        <v>263.9</v>
      </c>
      <c r="K20" s="8" t="n">
        <v>359.9</v>
      </c>
      <c r="L20" s="8" t="n">
        <v>204.8</v>
      </c>
      <c r="M20" s="8" t="n">
        <v>126.8</v>
      </c>
      <c r="N20" s="9">
        <f>SUM(B20:M20)</f>
        <v/>
      </c>
    </row>
    <row r="21">
      <c r="A21" s="7" t="inlineStr">
        <is>
          <t>Max. dnevna suma</t>
        </is>
      </c>
      <c r="B21" s="8" t="n">
        <v>50.5</v>
      </c>
      <c r="C21" s="8" t="n">
        <v>38.4</v>
      </c>
      <c r="D21" s="8" t="n">
        <v>4.3</v>
      </c>
      <c r="E21" s="8" t="n">
        <v>24.2</v>
      </c>
      <c r="F21" s="8" t="n">
        <v>40.1</v>
      </c>
      <c r="G21" s="8" t="n">
        <v>22.9</v>
      </c>
      <c r="H21" s="8" t="n">
        <v>13</v>
      </c>
      <c r="I21" s="8" t="n">
        <v>25.5</v>
      </c>
      <c r="J21" s="8" t="n">
        <v>62</v>
      </c>
      <c r="K21" s="8" t="n">
        <v>73.09999999999999</v>
      </c>
      <c r="L21" s="8" t="n">
        <v>29.4</v>
      </c>
      <c r="M21" s="8" t="n">
        <v>38.4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13</v>
      </c>
      <c r="C22" s="10" t="n">
        <v>4</v>
      </c>
      <c r="D22" s="10" t="n">
        <v>6</v>
      </c>
      <c r="E22" s="10" t="n">
        <v>20</v>
      </c>
      <c r="F22" s="10" t="n">
        <v>23</v>
      </c>
      <c r="G22" s="10" t="n">
        <v>12</v>
      </c>
      <c r="H22" s="10" t="n">
        <v>4</v>
      </c>
      <c r="I22" s="10" t="n">
        <v>13</v>
      </c>
      <c r="J22" s="10" t="n">
        <v>19</v>
      </c>
      <c r="K22" s="10" t="n">
        <v>19</v>
      </c>
      <c r="L22" s="10" t="n">
        <v>20</v>
      </c>
      <c r="M22" s="10" t="n">
        <v>11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2</v>
      </c>
      <c r="D23" s="10" t="n">
        <v>0</v>
      </c>
      <c r="E23" s="10" t="n">
        <v>7</v>
      </c>
      <c r="F23" s="10" t="n">
        <v>4</v>
      </c>
      <c r="G23" s="10" t="n">
        <v>1</v>
      </c>
      <c r="H23" s="10" t="n">
        <v>1</v>
      </c>
      <c r="I23" s="10" t="n">
        <v>2</v>
      </c>
      <c r="J23" s="10" t="n">
        <v>7</v>
      </c>
      <c r="K23" s="10" t="n">
        <v>7</v>
      </c>
      <c r="L23" s="10" t="n">
        <v>8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1999.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3.7</v>
      </c>
      <c r="C6" s="8" t="n">
        <v>2.8</v>
      </c>
      <c r="D6" s="8" t="n">
        <v>7.8</v>
      </c>
      <c r="E6" s="8" t="n">
        <v>11.8</v>
      </c>
      <c r="F6" s="8" t="n">
        <v>17.4</v>
      </c>
      <c r="G6" s="8" t="n">
        <v>21.2</v>
      </c>
      <c r="H6" s="8" t="n">
        <v>22.8</v>
      </c>
      <c r="I6" s="8" t="n">
        <v>24.2</v>
      </c>
      <c r="J6" s="8" t="n">
        <v>19.6</v>
      </c>
      <c r="K6" s="8" t="n">
        <v>14.4</v>
      </c>
      <c r="L6" s="8" t="n">
        <v>8.4</v>
      </c>
      <c r="M6" s="8" t="n">
        <v>5.1</v>
      </c>
      <c r="N6" s="9">
        <f>AVERAGE(B6:M6)</f>
        <v/>
      </c>
    </row>
    <row r="7">
      <c r="A7" s="7" t="inlineStr">
        <is>
          <t>Srednja maksimalna</t>
        </is>
      </c>
      <c r="B7" s="8" t="n">
        <v>9.699999999999999</v>
      </c>
      <c r="C7" s="8" t="n">
        <v>8.300000000000001</v>
      </c>
      <c r="D7" s="8" t="n">
        <v>13.5</v>
      </c>
      <c r="E7" s="8" t="n">
        <v>16.5</v>
      </c>
      <c r="F7" s="8" t="n">
        <v>22.9</v>
      </c>
      <c r="G7" s="8" t="n">
        <v>26.8</v>
      </c>
      <c r="H7" s="8" t="n">
        <v>28.7</v>
      </c>
      <c r="I7" s="8" t="n">
        <v>30.3</v>
      </c>
      <c r="J7" s="8" t="n">
        <v>25.4</v>
      </c>
      <c r="K7" s="8" t="n">
        <v>20.2</v>
      </c>
      <c r="L7" s="8" t="n">
        <v>13.4</v>
      </c>
      <c r="M7" s="8" t="n">
        <v>9.1</v>
      </c>
      <c r="N7" s="9">
        <f>AVERAGE(B7:M7)</f>
        <v/>
      </c>
    </row>
    <row r="8">
      <c r="A8" s="7" t="inlineStr">
        <is>
          <t>Srednja minimalna</t>
        </is>
      </c>
      <c r="B8" s="8" t="n">
        <v>-1.3</v>
      </c>
      <c r="C8" s="8" t="n">
        <v>-2.3</v>
      </c>
      <c r="D8" s="8" t="n">
        <v>2</v>
      </c>
      <c r="E8" s="8" t="n">
        <v>6.3</v>
      </c>
      <c r="F8" s="8" t="n">
        <v>10.5</v>
      </c>
      <c r="G8" s="8" t="n">
        <v>14</v>
      </c>
      <c r="H8" s="8" t="n">
        <v>15.9</v>
      </c>
      <c r="I8" s="8" t="n">
        <v>17</v>
      </c>
      <c r="J8" s="8" t="n">
        <v>13.5</v>
      </c>
      <c r="K8" s="8" t="n">
        <v>9</v>
      </c>
      <c r="L8" s="8" t="n">
        <v>4</v>
      </c>
      <c r="M8" s="8" t="n">
        <v>0.7</v>
      </c>
      <c r="N8" s="9">
        <f>AVERAGE(B8:M8)</f>
        <v/>
      </c>
    </row>
    <row r="9">
      <c r="A9" s="7" t="inlineStr">
        <is>
          <t>Apsolutni maksimum</t>
        </is>
      </c>
      <c r="B9" s="8" t="n">
        <v>13.5</v>
      </c>
      <c r="C9" s="8" t="n">
        <v>13.8</v>
      </c>
      <c r="D9" s="8" t="n">
        <v>18.2</v>
      </c>
      <c r="E9" s="8" t="n">
        <v>21.2</v>
      </c>
      <c r="F9" s="8" t="n">
        <v>27.5</v>
      </c>
      <c r="G9" s="8" t="n">
        <v>30.9</v>
      </c>
      <c r="H9" s="8" t="n">
        <v>31.8</v>
      </c>
      <c r="I9" s="8" t="n">
        <v>37.3</v>
      </c>
      <c r="J9" s="8" t="n">
        <v>28.3</v>
      </c>
      <c r="K9" s="8" t="n">
        <v>24</v>
      </c>
      <c r="L9" s="8" t="n">
        <v>21.6</v>
      </c>
      <c r="M9" s="8" t="n">
        <v>14</v>
      </c>
      <c r="N9" s="9">
        <f>MAX(B9:M9)</f>
        <v/>
      </c>
    </row>
    <row r="10">
      <c r="A10" s="7" t="inlineStr">
        <is>
          <t>Apsolutni minimum</t>
        </is>
      </c>
      <c r="B10" s="8" t="n">
        <v>-6.5</v>
      </c>
      <c r="C10" s="8" t="n">
        <v>-6.5</v>
      </c>
      <c r="D10" s="8" t="n">
        <v>-3.2</v>
      </c>
      <c r="E10" s="8" t="n">
        <v>0.6</v>
      </c>
      <c r="F10" s="8" t="n">
        <v>6.8</v>
      </c>
      <c r="G10" s="8" t="n">
        <v>8.6</v>
      </c>
      <c r="H10" s="8" t="n">
        <v>13.3</v>
      </c>
      <c r="I10" s="8" t="n">
        <v>13.4</v>
      </c>
      <c r="J10" s="8" t="n">
        <v>9.9</v>
      </c>
      <c r="K10" s="8" t="n">
        <v>3</v>
      </c>
      <c r="L10" s="8" t="n">
        <v>-3.3</v>
      </c>
      <c r="M10" s="8" t="n">
        <v>-9.199999999999999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24</v>
      </c>
      <c r="D11" s="10" t="n">
        <v>8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8</v>
      </c>
      <c r="M11" s="10" t="n">
        <v>14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</v>
      </c>
      <c r="H12" s="10" t="n">
        <v>6</v>
      </c>
      <c r="I12" s="10" t="n">
        <v>15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78.90000000000001</v>
      </c>
      <c r="C14" s="8" t="n">
        <v>70.59999999999999</v>
      </c>
      <c r="D14" s="8" t="n">
        <v>72.5</v>
      </c>
      <c r="E14" s="8" t="n">
        <v>75.5</v>
      </c>
      <c r="F14" s="8" t="n">
        <v>74.3</v>
      </c>
      <c r="G14" s="8" t="n">
        <v>65.7</v>
      </c>
      <c r="H14" s="8" t="n">
        <v>64.40000000000001</v>
      </c>
      <c r="I14" s="8" t="n">
        <v>58.7</v>
      </c>
      <c r="J14" s="8" t="n">
        <v>70.2</v>
      </c>
      <c r="K14" s="8" t="n">
        <v>75</v>
      </c>
      <c r="L14" s="8" t="n">
        <v>80.09999999999999</v>
      </c>
      <c r="M14" s="8" t="n">
        <v>80.7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212.7</v>
      </c>
      <c r="C16" s="8" t="n">
        <v>222.8</v>
      </c>
      <c r="D16" s="8" t="n">
        <v>316.4</v>
      </c>
      <c r="E16" s="8" t="n">
        <v>299.8</v>
      </c>
      <c r="F16" s="8" t="n">
        <v>389.4</v>
      </c>
      <c r="G16" s="8" t="n">
        <v>393.8</v>
      </c>
      <c r="H16" s="8" t="n">
        <v>413.5</v>
      </c>
      <c r="I16" s="8" t="n">
        <v>394.6</v>
      </c>
      <c r="J16" s="8" t="n">
        <v>328.4</v>
      </c>
      <c r="K16" s="8" t="n">
        <v>301.3</v>
      </c>
      <c r="L16" s="8" t="n">
        <v>190.4</v>
      </c>
      <c r="M16" s="8" t="n">
        <v>154</v>
      </c>
      <c r="N16" s="9">
        <f>SUM(B16:M16)</f>
        <v/>
      </c>
    </row>
    <row r="17">
      <c r="A17" s="7" t="inlineStr">
        <is>
          <t>Broj vedrih dana</t>
        </is>
      </c>
      <c r="B17" s="10" t="n">
        <v>11</v>
      </c>
      <c r="C17" s="10" t="n">
        <v>6</v>
      </c>
      <c r="D17" s="10" t="n">
        <v>7</v>
      </c>
      <c r="E17" s="10" t="n">
        <v>3</v>
      </c>
      <c r="F17" s="10" t="n">
        <v>6</v>
      </c>
      <c r="G17" s="10" t="n">
        <v>12</v>
      </c>
      <c r="H17" s="10" t="n">
        <v>15</v>
      </c>
      <c r="I17" s="10" t="n">
        <v>22</v>
      </c>
      <c r="J17" s="10" t="n">
        <v>9</v>
      </c>
      <c r="K17" s="10" t="n">
        <v>4</v>
      </c>
      <c r="L17" s="10" t="n">
        <v>8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7</v>
      </c>
      <c r="D18" s="10" t="n">
        <v>7</v>
      </c>
      <c r="E18" s="10" t="n">
        <v>9</v>
      </c>
      <c r="F18" s="10" t="n">
        <v>5</v>
      </c>
      <c r="G18" s="10" t="n">
        <v>4</v>
      </c>
      <c r="H18" s="10" t="n">
        <v>1</v>
      </c>
      <c r="I18" s="10" t="n">
        <v>2</v>
      </c>
      <c r="J18" s="10" t="n">
        <v>2</v>
      </c>
      <c r="K18" s="10" t="n">
        <v>3</v>
      </c>
      <c r="L18" s="10" t="n">
        <v>12</v>
      </c>
      <c r="M18" s="10" t="n">
        <v>14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113.5</v>
      </c>
      <c r="C20" s="8" t="n">
        <v>121.7</v>
      </c>
      <c r="D20" s="8" t="n">
        <v>106</v>
      </c>
      <c r="E20" s="8" t="n">
        <v>188.7</v>
      </c>
      <c r="F20" s="8" t="n">
        <v>59.6</v>
      </c>
      <c r="G20" s="8" t="n">
        <v>96.09999999999999</v>
      </c>
      <c r="H20" s="8" t="n">
        <v>52.9</v>
      </c>
      <c r="I20" s="8" t="n">
        <v>57.9</v>
      </c>
      <c r="J20" s="8" t="n">
        <v>61.1</v>
      </c>
      <c r="K20" s="8" t="n">
        <v>87.2</v>
      </c>
      <c r="L20" s="8" t="n">
        <v>200.4</v>
      </c>
      <c r="M20" s="8" t="n">
        <v>339.3</v>
      </c>
      <c r="N20" s="9">
        <f>SUM(B20:M20)</f>
        <v/>
      </c>
    </row>
    <row r="21">
      <c r="A21" s="7" t="inlineStr">
        <is>
          <t>Max. dnevna suma</t>
        </is>
      </c>
      <c r="B21" s="8" t="n">
        <v>26.1</v>
      </c>
      <c r="C21" s="8" t="n">
        <v>32.9</v>
      </c>
      <c r="D21" s="8" t="n">
        <v>36.6</v>
      </c>
      <c r="E21" s="8" t="n">
        <v>32.1</v>
      </c>
      <c r="F21" s="8" t="n">
        <v>13.2</v>
      </c>
      <c r="G21" s="8" t="n">
        <v>39.8</v>
      </c>
      <c r="H21" s="8" t="n">
        <v>11</v>
      </c>
      <c r="I21" s="8" t="n">
        <v>24.7</v>
      </c>
      <c r="J21" s="8" t="n">
        <v>31.7</v>
      </c>
      <c r="K21" s="8" t="n">
        <v>21.4</v>
      </c>
      <c r="L21" s="8" t="n">
        <v>38.9</v>
      </c>
      <c r="M21" s="8" t="n">
        <v>60.9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12</v>
      </c>
      <c r="C22" s="10" t="n">
        <v>14</v>
      </c>
      <c r="D22" s="10" t="n">
        <v>12</v>
      </c>
      <c r="E22" s="10" t="n">
        <v>22</v>
      </c>
      <c r="F22" s="10" t="n">
        <v>14</v>
      </c>
      <c r="G22" s="10" t="n">
        <v>12</v>
      </c>
      <c r="H22" s="10" t="n">
        <v>11</v>
      </c>
      <c r="I22" s="10" t="n">
        <v>8</v>
      </c>
      <c r="J22" s="10" t="n">
        <v>10</v>
      </c>
      <c r="K22" s="10" t="n">
        <v>14</v>
      </c>
      <c r="L22" s="10" t="n">
        <v>15</v>
      </c>
      <c r="M22" s="10" t="n">
        <v>22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5</v>
      </c>
      <c r="C23" s="10" t="n">
        <v>5</v>
      </c>
      <c r="D23" s="10" t="n">
        <v>4</v>
      </c>
      <c r="E23" s="10" t="n">
        <v>6</v>
      </c>
      <c r="F23" s="10" t="n">
        <v>4</v>
      </c>
      <c r="G23" s="10" t="n">
        <v>3</v>
      </c>
      <c r="H23" s="10" t="n">
        <v>1</v>
      </c>
      <c r="I23" s="10" t="n">
        <v>3</v>
      </c>
      <c r="J23" s="10" t="n">
        <v>2</v>
      </c>
      <c r="K23" s="10" t="n">
        <v>4</v>
      </c>
      <c r="L23" s="10" t="n">
        <v>7</v>
      </c>
      <c r="M23" s="10" t="n">
        <v>10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3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4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3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2000.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0.2</v>
      </c>
      <c r="C6" s="8" t="n">
        <v>4.4</v>
      </c>
      <c r="D6" s="8" t="n">
        <v>7.1</v>
      </c>
      <c r="E6" s="8" t="n">
        <v>13.4</v>
      </c>
      <c r="F6" s="8" t="n">
        <v>18.5</v>
      </c>
      <c r="G6" s="8" t="n">
        <v>22.7</v>
      </c>
      <c r="H6" s="8" t="n">
        <v>22.9</v>
      </c>
      <c r="I6" s="8" t="n">
        <v>25.8</v>
      </c>
      <c r="J6" s="8" t="n">
        <v>18.5</v>
      </c>
      <c r="K6" s="8" t="n">
        <v>14.7</v>
      </c>
      <c r="L6" s="8" t="n">
        <v>11.4</v>
      </c>
      <c r="M6" s="8" t="n">
        <v>6.2</v>
      </c>
      <c r="N6" s="9">
        <f>AVERAGE(B6:M6)</f>
        <v/>
      </c>
    </row>
    <row r="7">
      <c r="A7" s="7" t="inlineStr">
        <is>
          <t>Srednja maksimalna</t>
        </is>
      </c>
      <c r="B7" s="8" t="n">
        <v>6.7</v>
      </c>
      <c r="C7" s="8" t="n">
        <v>10.5</v>
      </c>
      <c r="D7" s="8" t="n">
        <v>12.7</v>
      </c>
      <c r="E7" s="8" t="n">
        <v>19.2</v>
      </c>
      <c r="F7" s="8" t="n">
        <v>24.4</v>
      </c>
      <c r="G7" s="8" t="n">
        <v>29</v>
      </c>
      <c r="H7" s="8" t="n">
        <v>28.8</v>
      </c>
      <c r="I7" s="8" t="n">
        <v>32.8</v>
      </c>
      <c r="J7" s="8" t="n">
        <v>24.2</v>
      </c>
      <c r="K7" s="8" t="n">
        <v>20</v>
      </c>
      <c r="L7" s="8" t="n">
        <v>15.6</v>
      </c>
      <c r="M7" s="8" t="n">
        <v>11.4</v>
      </c>
      <c r="N7" s="9">
        <f>AVERAGE(B7:M7)</f>
        <v/>
      </c>
    </row>
    <row r="8">
      <c r="A8" s="7" t="inlineStr">
        <is>
          <t>Srednja minimalna</t>
        </is>
      </c>
      <c r="B8" s="8" t="n">
        <v>-5</v>
      </c>
      <c r="C8" s="8" t="n">
        <v>-1.2</v>
      </c>
      <c r="D8" s="8" t="n">
        <v>0.9</v>
      </c>
      <c r="E8" s="8" t="n">
        <v>6.7</v>
      </c>
      <c r="F8" s="8" t="n">
        <v>11.2</v>
      </c>
      <c r="G8" s="8" t="n">
        <v>14.8</v>
      </c>
      <c r="H8" s="8" t="n">
        <v>15.2</v>
      </c>
      <c r="I8" s="8" t="n">
        <v>17</v>
      </c>
      <c r="J8" s="8" t="n">
        <v>12.7</v>
      </c>
      <c r="K8" s="8" t="n">
        <v>9.9</v>
      </c>
      <c r="L8" s="8" t="n">
        <v>7.5</v>
      </c>
      <c r="M8" s="8" t="n">
        <v>1.9</v>
      </c>
      <c r="N8" s="9">
        <f>AVERAGE(B8:M8)</f>
        <v/>
      </c>
    </row>
    <row r="9">
      <c r="A9" s="7" t="inlineStr">
        <is>
          <t>Apsolutni maksimum</t>
        </is>
      </c>
      <c r="B9" s="8" t="n">
        <v>11.8</v>
      </c>
      <c r="C9" s="8" t="n">
        <v>15.6</v>
      </c>
      <c r="D9" s="8" t="n">
        <v>16.8</v>
      </c>
      <c r="E9" s="8" t="n">
        <v>26.3</v>
      </c>
      <c r="F9" s="8" t="n">
        <v>28.2</v>
      </c>
      <c r="G9" s="8" t="n">
        <v>33.5</v>
      </c>
      <c r="H9" s="8" t="n">
        <v>35.8</v>
      </c>
      <c r="I9" s="8" t="n">
        <v>39.1</v>
      </c>
      <c r="J9" s="8" t="n">
        <v>27.7</v>
      </c>
      <c r="K9" s="8" t="n">
        <v>26</v>
      </c>
      <c r="L9" s="8" t="n">
        <v>20</v>
      </c>
      <c r="M9" s="8" t="n">
        <v>15.6</v>
      </c>
      <c r="N9" s="9">
        <f>MAX(B9:M9)</f>
        <v/>
      </c>
    </row>
    <row r="10">
      <c r="A10" s="7" t="inlineStr">
        <is>
          <t>Apsolutni minimum</t>
        </is>
      </c>
      <c r="B10" s="8" t="n">
        <v>-21.8</v>
      </c>
      <c r="C10" s="8" t="n">
        <v>-4.9</v>
      </c>
      <c r="D10" s="8" t="n">
        <v>-3.8</v>
      </c>
      <c r="E10" s="8" t="n">
        <v>-0.6</v>
      </c>
      <c r="F10" s="8" t="n">
        <v>7.7</v>
      </c>
      <c r="G10" s="8" t="n">
        <v>9.5</v>
      </c>
      <c r="H10" s="8" t="n">
        <v>10.6</v>
      </c>
      <c r="I10" s="8" t="n">
        <v>13.4</v>
      </c>
      <c r="J10" s="8" t="n">
        <v>6.9</v>
      </c>
      <c r="K10" s="8" t="n">
        <v>2.9</v>
      </c>
      <c r="L10" s="8" t="n">
        <v>-1.1</v>
      </c>
      <c r="M10" s="8" t="n">
        <v>-5.9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21</v>
      </c>
      <c r="D11" s="10" t="n">
        <v>16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11</v>
      </c>
      <c r="H12" s="10" t="n">
        <v>12</v>
      </c>
      <c r="I12" s="10" t="n">
        <v>22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72.59999999999999</v>
      </c>
      <c r="C14" s="8" t="n">
        <v>71.2</v>
      </c>
      <c r="D14" s="8" t="n">
        <v>69.90000000000001</v>
      </c>
      <c r="E14" s="8" t="n">
        <v>71.7</v>
      </c>
      <c r="F14" s="8" t="n">
        <v>68.3</v>
      </c>
      <c r="G14" s="8" t="n">
        <v>55.7</v>
      </c>
      <c r="H14" s="8" t="n">
        <v>54.4</v>
      </c>
      <c r="I14" s="8" t="n">
        <v>48.1</v>
      </c>
      <c r="J14" s="8" t="n">
        <v>70</v>
      </c>
      <c r="K14" s="8" t="n">
        <v>82.2</v>
      </c>
      <c r="L14" s="8" t="n">
        <v>83.2</v>
      </c>
      <c r="M14" s="8" t="n">
        <v>84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237.2</v>
      </c>
      <c r="C16" s="8" t="n">
        <v>239.4</v>
      </c>
      <c r="D16" s="8" t="n">
        <v>318.1</v>
      </c>
      <c r="E16" s="8" t="n">
        <v>327.2</v>
      </c>
      <c r="F16" s="8" t="n">
        <v>411.4</v>
      </c>
      <c r="G16" s="8" t="n">
        <v>416.1</v>
      </c>
      <c r="H16" s="8" t="n">
        <v>423.1</v>
      </c>
      <c r="I16" s="8" t="n">
        <v>411.9</v>
      </c>
      <c r="J16" s="8" t="n">
        <v>329</v>
      </c>
      <c r="K16" s="8" t="n">
        <v>257.3</v>
      </c>
      <c r="L16" s="8" t="n">
        <v>208.2</v>
      </c>
      <c r="M16" s="8" t="n">
        <v>199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11</v>
      </c>
      <c r="D17" s="10" t="n">
        <v>7</v>
      </c>
      <c r="E17" s="10" t="n">
        <v>6</v>
      </c>
      <c r="F17" s="10" t="n">
        <v>8</v>
      </c>
      <c r="G17" s="10" t="n">
        <v>20</v>
      </c>
      <c r="H17" s="10" t="n">
        <v>22</v>
      </c>
      <c r="I17" s="10" t="n">
        <v>25</v>
      </c>
      <c r="J17" s="10" t="n">
        <v>9</v>
      </c>
      <c r="K17" s="10" t="n">
        <v>9</v>
      </c>
      <c r="L17" s="10" t="n">
        <v>3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6</v>
      </c>
      <c r="C18" s="10" t="n">
        <v>6</v>
      </c>
      <c r="D18" s="10" t="n">
        <v>4</v>
      </c>
      <c r="E18" s="10" t="n">
        <v>8</v>
      </c>
      <c r="F18" s="10" t="n">
        <v>2</v>
      </c>
      <c r="G18" s="10" t="n">
        <v>0</v>
      </c>
      <c r="H18" s="10" t="n">
        <v>1</v>
      </c>
      <c r="I18" s="10" t="n">
        <v>0</v>
      </c>
      <c r="J18" s="10" t="n">
        <v>4</v>
      </c>
      <c r="K18" s="10" t="n">
        <v>11</v>
      </c>
      <c r="L18" s="10" t="n">
        <v>9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49.6</v>
      </c>
      <c r="C20" s="8" t="n">
        <v>59.1</v>
      </c>
      <c r="D20" s="8" t="n">
        <v>110</v>
      </c>
      <c r="E20" s="8" t="n">
        <v>103.7</v>
      </c>
      <c r="F20" s="8" t="n">
        <v>39.8</v>
      </c>
      <c r="G20" s="8" t="n">
        <v>14</v>
      </c>
      <c r="H20" s="8" t="n">
        <v>57</v>
      </c>
      <c r="I20" s="8" t="n">
        <v>3.1</v>
      </c>
      <c r="J20" s="8" t="n">
        <v>143</v>
      </c>
      <c r="K20" s="8" t="n">
        <v>271.5</v>
      </c>
      <c r="L20" s="8" t="n">
        <v>339.4</v>
      </c>
      <c r="M20" s="8" t="n">
        <v>232.8</v>
      </c>
      <c r="N20" s="9">
        <f>SUM(B20:M20)</f>
        <v/>
      </c>
    </row>
    <row r="21">
      <c r="A21" s="7" t="inlineStr">
        <is>
          <t>Max. dnevna suma</t>
        </is>
      </c>
      <c r="B21" s="8" t="n">
        <v>31.3</v>
      </c>
      <c r="C21" s="8" t="n">
        <v>22.4</v>
      </c>
      <c r="D21" s="8" t="n">
        <v>33.2</v>
      </c>
      <c r="E21" s="8" t="n">
        <v>27.9</v>
      </c>
      <c r="F21" s="8" t="n">
        <v>14.5</v>
      </c>
      <c r="G21" s="8" t="n">
        <v>5.3</v>
      </c>
      <c r="H21" s="8" t="n">
        <v>38.9</v>
      </c>
      <c r="I21" s="8" t="n">
        <v>1.4</v>
      </c>
      <c r="J21" s="8" t="n">
        <v>39.3</v>
      </c>
      <c r="K21" s="8" t="n">
        <v>113.5</v>
      </c>
      <c r="L21" s="8" t="n">
        <v>52.8</v>
      </c>
      <c r="M21" s="8" t="n">
        <v>62.5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7</v>
      </c>
      <c r="C22" s="10" t="n">
        <v>10</v>
      </c>
      <c r="D22" s="10" t="n">
        <v>13</v>
      </c>
      <c r="E22" s="10" t="n">
        <v>19</v>
      </c>
      <c r="F22" s="10" t="n">
        <v>15</v>
      </c>
      <c r="G22" s="10" t="n">
        <v>7</v>
      </c>
      <c r="H22" s="10" t="n">
        <v>8</v>
      </c>
      <c r="I22" s="10" t="n">
        <v>5</v>
      </c>
      <c r="J22" s="10" t="n">
        <v>11</v>
      </c>
      <c r="K22" s="10" t="n">
        <v>17</v>
      </c>
      <c r="L22" s="10" t="n">
        <v>22</v>
      </c>
      <c r="M22" s="10" t="n">
        <v>11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2</v>
      </c>
      <c r="D23" s="10" t="n">
        <v>5</v>
      </c>
      <c r="E23" s="10" t="n">
        <v>3</v>
      </c>
      <c r="F23" s="10" t="n">
        <v>1</v>
      </c>
      <c r="G23" s="10" t="n">
        <v>0</v>
      </c>
      <c r="H23" s="10" t="n">
        <v>1</v>
      </c>
      <c r="I23" s="10" t="n">
        <v>0</v>
      </c>
      <c r="J23" s="10" t="n">
        <v>5</v>
      </c>
      <c r="K23" s="10" t="n">
        <v>7</v>
      </c>
      <c r="L23" s="10" t="n">
        <v>11</v>
      </c>
      <c r="M23" s="10" t="n">
        <v>9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1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1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2001.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6.1</v>
      </c>
      <c r="C6" s="8" t="n">
        <v>5.4</v>
      </c>
      <c r="D6" s="8" t="n">
        <v>11.2</v>
      </c>
      <c r="E6" s="8" t="n">
        <v>11.1</v>
      </c>
      <c r="F6" s="8" t="n">
        <v>17.9</v>
      </c>
      <c r="G6" s="8" t="n">
        <v>19.9</v>
      </c>
      <c r="H6" s="8" t="n">
        <v>24.2</v>
      </c>
      <c r="I6" s="8" t="n">
        <v>26</v>
      </c>
      <c r="J6" s="8" t="n">
        <v>16.4</v>
      </c>
      <c r="K6" s="8" t="n">
        <v>15.1</v>
      </c>
      <c r="L6" s="8" t="n">
        <v>7.4</v>
      </c>
      <c r="M6" s="8" t="n">
        <v>0.6</v>
      </c>
      <c r="N6" s="9">
        <f>AVERAGE(B6:M6)</f>
        <v/>
      </c>
    </row>
    <row r="7">
      <c r="A7" s="7" t="inlineStr">
        <is>
          <t>Srednja maksimalna</t>
        </is>
      </c>
      <c r="B7" s="8" t="n">
        <v>10.3</v>
      </c>
      <c r="C7" s="8" t="n">
        <v>10.6</v>
      </c>
      <c r="D7" s="8" t="n">
        <v>15.8</v>
      </c>
      <c r="E7" s="8" t="n">
        <v>16.4</v>
      </c>
      <c r="F7" s="8" t="n">
        <v>23.9</v>
      </c>
      <c r="G7" s="8" t="n">
        <v>25.5</v>
      </c>
      <c r="H7" s="8" t="n">
        <v>30.3</v>
      </c>
      <c r="I7" s="8" t="n">
        <v>32.9</v>
      </c>
      <c r="J7" s="8" t="n">
        <v>21.5</v>
      </c>
      <c r="K7" s="8" t="n">
        <v>21.6</v>
      </c>
      <c r="L7" s="8" t="n">
        <v>12.3</v>
      </c>
      <c r="M7" s="8" t="n">
        <v>5.4</v>
      </c>
      <c r="N7" s="9">
        <f>AVERAGE(B7:M7)</f>
        <v/>
      </c>
    </row>
    <row r="8">
      <c r="A8" s="7" t="inlineStr">
        <is>
          <t>Srednja minimalna</t>
        </is>
      </c>
      <c r="B8" s="8" t="n">
        <v>2.3</v>
      </c>
      <c r="C8" s="8" t="n">
        <v>0.3</v>
      </c>
      <c r="D8" s="8" t="n">
        <v>6.3</v>
      </c>
      <c r="E8" s="8" t="n">
        <v>5.2</v>
      </c>
      <c r="F8" s="8" t="n">
        <v>11</v>
      </c>
      <c r="G8" s="8" t="n">
        <v>13</v>
      </c>
      <c r="H8" s="8" t="n">
        <v>16.6</v>
      </c>
      <c r="I8" s="8" t="n">
        <v>17.8</v>
      </c>
      <c r="J8" s="8" t="n">
        <v>11.1</v>
      </c>
      <c r="K8" s="8" t="n">
        <v>9.1</v>
      </c>
      <c r="L8" s="8" t="n">
        <v>3.1</v>
      </c>
      <c r="M8" s="8" t="n">
        <v>-2.9</v>
      </c>
      <c r="N8" s="9">
        <f>AVERAGE(B8:M8)</f>
        <v/>
      </c>
    </row>
    <row r="9">
      <c r="A9" s="7" t="inlineStr">
        <is>
          <t>Apsolutni maksimum</t>
        </is>
      </c>
      <c r="B9" s="8" t="n">
        <v>14.8</v>
      </c>
      <c r="C9" s="8" t="n">
        <v>15.9</v>
      </c>
      <c r="D9" s="8" t="n">
        <v>20.9</v>
      </c>
      <c r="E9" s="8" t="n">
        <v>26.2</v>
      </c>
      <c r="F9" s="8" t="n">
        <v>29.4</v>
      </c>
      <c r="G9" s="8" t="n">
        <v>31.4</v>
      </c>
      <c r="H9" s="8" t="n">
        <v>34.8</v>
      </c>
      <c r="I9" s="8" t="n">
        <v>37.8</v>
      </c>
      <c r="J9" s="8" t="n">
        <v>25.4</v>
      </c>
      <c r="K9" s="8" t="n">
        <v>25.5</v>
      </c>
      <c r="L9" s="8" t="n">
        <v>20.8</v>
      </c>
      <c r="M9" s="8" t="n">
        <v>10.5</v>
      </c>
      <c r="N9" s="9">
        <f>MAX(B9:M9)</f>
        <v/>
      </c>
    </row>
    <row r="10">
      <c r="A10" s="7" t="inlineStr">
        <is>
          <t>Apsolutni minimum</t>
        </is>
      </c>
      <c r="B10" s="8" t="n">
        <v>-3.8</v>
      </c>
      <c r="C10" s="8" t="n">
        <v>-5.7</v>
      </c>
      <c r="D10" s="8" t="n">
        <v>-0.8</v>
      </c>
      <c r="E10" s="8" t="n">
        <v>0.6</v>
      </c>
      <c r="F10" s="8" t="n">
        <v>4.5</v>
      </c>
      <c r="G10" s="8" t="n">
        <v>7.7</v>
      </c>
      <c r="H10" s="8" t="n">
        <v>13.7</v>
      </c>
      <c r="I10" s="8" t="n">
        <v>13.4</v>
      </c>
      <c r="J10" s="8" t="n">
        <v>6.1</v>
      </c>
      <c r="K10" s="8" t="n">
        <v>3.7</v>
      </c>
      <c r="L10" s="8" t="n">
        <v>-6.6</v>
      </c>
      <c r="M10" s="8" t="n">
        <v>-6.4</v>
      </c>
      <c r="N10" s="9">
        <f>MIN(B10:M10)</f>
        <v/>
      </c>
    </row>
    <row r="11">
      <c r="A11" s="7" t="inlineStr">
        <is>
          <t>Sr. br. mraznih dana</t>
        </is>
      </c>
      <c r="B11" s="10" t="n">
        <v>11</v>
      </c>
      <c r="C11" s="10" t="n">
        <v>15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10</v>
      </c>
      <c r="M11" s="10" t="n">
        <v>28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3</v>
      </c>
      <c r="H12" s="10" t="n">
        <v>19</v>
      </c>
      <c r="I12" s="10" t="n">
        <v>28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83.2</v>
      </c>
      <c r="C14" s="8" t="n">
        <v>73.7</v>
      </c>
      <c r="D14" s="8" t="n">
        <v>80.2</v>
      </c>
      <c r="E14" s="8" t="n">
        <v>73.2</v>
      </c>
      <c r="F14" s="8" t="n">
        <v>68</v>
      </c>
      <c r="G14" s="8" t="n">
        <v>61.7</v>
      </c>
      <c r="H14" s="8" t="n">
        <v>54.6</v>
      </c>
      <c r="I14" s="8" t="n">
        <v>52</v>
      </c>
      <c r="J14" s="8" t="n">
        <v>75.59999999999999</v>
      </c>
      <c r="K14" s="8" t="n">
        <v>78.7</v>
      </c>
      <c r="L14" s="8" t="n">
        <v>74.7</v>
      </c>
      <c r="M14" s="8" t="n">
        <v>69.2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151.7</v>
      </c>
      <c r="C16" s="8" t="n">
        <v>229.3</v>
      </c>
      <c r="D16" s="8" t="n">
        <v>277.8</v>
      </c>
      <c r="E16" s="8" t="n">
        <v>300</v>
      </c>
      <c r="F16" s="8" t="n">
        <v>373.6</v>
      </c>
      <c r="G16" s="8" t="n">
        <v>400.2</v>
      </c>
      <c r="H16" s="8" t="n">
        <v>423.7</v>
      </c>
      <c r="I16" s="8" t="n">
        <v>411.4</v>
      </c>
      <c r="J16" s="8" t="n">
        <v>298.7</v>
      </c>
      <c r="K16" s="8" t="n">
        <v>300.2</v>
      </c>
      <c r="L16" s="8" t="n">
        <v>204</v>
      </c>
      <c r="M16" s="8" t="n">
        <v>200.8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4</v>
      </c>
      <c r="D17" s="10" t="n">
        <v>0</v>
      </c>
      <c r="E17" s="10" t="n">
        <v>3</v>
      </c>
      <c r="F17" s="10" t="n">
        <v>10</v>
      </c>
      <c r="G17" s="10" t="n">
        <v>16</v>
      </c>
      <c r="H17" s="10" t="n">
        <v>18</v>
      </c>
      <c r="I17" s="10" t="n">
        <v>19</v>
      </c>
      <c r="J17" s="10" t="n">
        <v>6</v>
      </c>
      <c r="K17" s="10" t="n">
        <v>12</v>
      </c>
      <c r="L17" s="10" t="n">
        <v>10</v>
      </c>
      <c r="M17" s="10" t="n">
        <v>11</v>
      </c>
      <c r="N17" s="11">
        <f>SUM(B17:M17)</f>
        <v/>
      </c>
    </row>
    <row r="18">
      <c r="A18" s="7" t="inlineStr">
        <is>
          <t>Broj oblačnih dana</t>
        </is>
      </c>
      <c r="B18" s="10" t="n">
        <v>20</v>
      </c>
      <c r="C18" s="10" t="n">
        <v>7</v>
      </c>
      <c r="D18" s="10" t="n">
        <v>13</v>
      </c>
      <c r="E18" s="10" t="n">
        <v>11</v>
      </c>
      <c r="F18" s="10" t="n">
        <v>7</v>
      </c>
      <c r="G18" s="10" t="n">
        <v>3</v>
      </c>
      <c r="H18" s="10" t="n">
        <v>0</v>
      </c>
      <c r="I18" s="10" t="n">
        <v>0</v>
      </c>
      <c r="J18" s="10" t="n">
        <v>6</v>
      </c>
      <c r="K18" s="10" t="n">
        <v>4</v>
      </c>
      <c r="L18" s="10" t="n">
        <v>11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250.9</v>
      </c>
      <c r="C20" s="8" t="n">
        <v>86.8</v>
      </c>
      <c r="D20" s="8" t="n">
        <v>153</v>
      </c>
      <c r="E20" s="8" t="n">
        <v>150.9</v>
      </c>
      <c r="F20" s="8" t="n">
        <v>64.7</v>
      </c>
      <c r="G20" s="8" t="n">
        <v>62.3</v>
      </c>
      <c r="H20" s="8" t="n">
        <v>28.2</v>
      </c>
      <c r="I20" s="8" t="n">
        <v>11.3</v>
      </c>
      <c r="J20" s="8" t="n">
        <v>252.8</v>
      </c>
      <c r="K20" s="8" t="n">
        <v>30.6</v>
      </c>
      <c r="L20" s="8" t="n">
        <v>286.9</v>
      </c>
      <c r="M20" s="8" t="n">
        <v>73.7</v>
      </c>
      <c r="N20" s="9">
        <f>SUM(B20:M20)</f>
        <v/>
      </c>
    </row>
    <row r="21">
      <c r="A21" s="7" t="inlineStr">
        <is>
          <t>Max. dnevna suma</t>
        </is>
      </c>
      <c r="B21" s="8" t="n">
        <v>35.3</v>
      </c>
      <c r="C21" s="8" t="n">
        <v>27</v>
      </c>
      <c r="D21" s="8" t="n">
        <v>17.6</v>
      </c>
      <c r="E21" s="8" t="n">
        <v>38.8</v>
      </c>
      <c r="F21" s="8" t="n">
        <v>23.6</v>
      </c>
      <c r="G21" s="8" t="n">
        <v>32.6</v>
      </c>
      <c r="H21" s="8" t="n">
        <v>16.4</v>
      </c>
      <c r="I21" s="8" t="n">
        <v>6.1</v>
      </c>
      <c r="J21" s="8" t="n">
        <v>39</v>
      </c>
      <c r="K21" s="8" t="n">
        <v>13.3</v>
      </c>
      <c r="L21" s="8" t="n">
        <v>80</v>
      </c>
      <c r="M21" s="8" t="n">
        <v>19.8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19</v>
      </c>
      <c r="C22" s="10" t="n">
        <v>13</v>
      </c>
      <c r="D22" s="10" t="n">
        <v>22</v>
      </c>
      <c r="E22" s="10" t="n">
        <v>17</v>
      </c>
      <c r="F22" s="10" t="n">
        <v>15</v>
      </c>
      <c r="G22" s="10" t="n">
        <v>13</v>
      </c>
      <c r="H22" s="10" t="n">
        <v>11</v>
      </c>
      <c r="I22" s="10" t="n">
        <v>11</v>
      </c>
      <c r="J22" s="10" t="n">
        <v>15</v>
      </c>
      <c r="K22" s="10" t="n">
        <v>9</v>
      </c>
      <c r="L22" s="10" t="n">
        <v>15</v>
      </c>
      <c r="M22" s="10" t="n">
        <v>13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10</v>
      </c>
      <c r="C23" s="10" t="n">
        <v>4</v>
      </c>
      <c r="D23" s="10" t="n">
        <v>7</v>
      </c>
      <c r="E23" s="10" t="n">
        <v>6</v>
      </c>
      <c r="F23" s="10" t="n">
        <v>2</v>
      </c>
      <c r="G23" s="10" t="n">
        <v>1</v>
      </c>
      <c r="H23" s="10" t="n">
        <v>1</v>
      </c>
      <c r="I23" s="10" t="n">
        <v>0</v>
      </c>
      <c r="J23" s="10" t="n">
        <v>9</v>
      </c>
      <c r="K23" s="10" t="n">
        <v>1</v>
      </c>
      <c r="L23" s="10" t="n">
        <v>10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2</v>
      </c>
      <c r="C25" s="10" t="n">
        <v>3</v>
      </c>
      <c r="D25" s="10" t="n">
        <v>0</v>
      </c>
      <c r="E25" s="10" t="n">
        <v>2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2</v>
      </c>
      <c r="C26" s="10" t="n">
        <v>3</v>
      </c>
      <c r="D26" s="10" t="n">
        <v>0</v>
      </c>
      <c r="E26" s="10" t="n">
        <v>2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2002.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</v>
      </c>
      <c r="C6" s="8" t="n">
        <v>7.4</v>
      </c>
      <c r="D6" s="8" t="n">
        <v>9.800000000000001</v>
      </c>
      <c r="E6" s="8" t="n">
        <v>12.2</v>
      </c>
      <c r="F6" s="8" t="n">
        <v>17.1</v>
      </c>
      <c r="G6" s="8" t="n">
        <v>22.1</v>
      </c>
      <c r="H6" s="8" t="n">
        <v>23.9</v>
      </c>
      <c r="I6" s="8" t="n">
        <v>21.7</v>
      </c>
      <c r="J6" s="8" t="n">
        <v>17</v>
      </c>
      <c r="K6" s="8" t="n">
        <v>13.1</v>
      </c>
      <c r="L6" s="8" t="n">
        <v>10.7</v>
      </c>
      <c r="M6" s="8" t="n">
        <v>6</v>
      </c>
      <c r="N6" s="9">
        <f>AVERAGE(B6:M6)</f>
        <v/>
      </c>
    </row>
    <row r="7">
      <c r="A7" s="7" t="inlineStr">
        <is>
          <t>Srednja maksimalna</t>
        </is>
      </c>
      <c r="B7" s="8" t="n">
        <v>7.9</v>
      </c>
      <c r="C7" s="8" t="n">
        <v>12.9</v>
      </c>
      <c r="D7" s="8" t="n">
        <v>15.5</v>
      </c>
      <c r="E7" s="8" t="n">
        <v>17.6</v>
      </c>
      <c r="F7" s="8" t="n">
        <v>22.5</v>
      </c>
      <c r="G7" s="8" t="n">
        <v>28</v>
      </c>
      <c r="H7" s="8" t="n">
        <v>29.3</v>
      </c>
      <c r="I7" s="8" t="n">
        <v>27</v>
      </c>
      <c r="J7" s="8" t="n">
        <v>22.3</v>
      </c>
      <c r="K7" s="8" t="n">
        <v>18.5</v>
      </c>
      <c r="L7" s="8" t="n">
        <v>15.2</v>
      </c>
      <c r="M7" s="8" t="n">
        <v>9.800000000000001</v>
      </c>
      <c r="N7" s="9">
        <f>AVERAGE(B7:M7)</f>
        <v/>
      </c>
    </row>
    <row r="8">
      <c r="A8" s="7" t="inlineStr">
        <is>
          <t>Srednja minimalna</t>
        </is>
      </c>
      <c r="B8" s="8" t="n">
        <v>-2.5</v>
      </c>
      <c r="C8" s="8" t="n">
        <v>2</v>
      </c>
      <c r="D8" s="8" t="n">
        <v>4</v>
      </c>
      <c r="E8" s="8" t="n">
        <v>6.4</v>
      </c>
      <c r="F8" s="8" t="n">
        <v>10.5</v>
      </c>
      <c r="G8" s="8" t="n">
        <v>14.7</v>
      </c>
      <c r="H8" s="8" t="n">
        <v>17.7</v>
      </c>
      <c r="I8" s="8" t="n">
        <v>15.9</v>
      </c>
      <c r="J8" s="8" t="n">
        <v>11.6</v>
      </c>
      <c r="K8" s="8" t="n">
        <v>7.8</v>
      </c>
      <c r="L8" s="8" t="n">
        <v>6.4</v>
      </c>
      <c r="M8" s="8" t="n">
        <v>2.3</v>
      </c>
      <c r="N8" s="9">
        <f>AVERAGE(B8:M8)</f>
        <v/>
      </c>
    </row>
    <row r="9">
      <c r="A9" s="7" t="inlineStr">
        <is>
          <t>Apsolutni maksimum</t>
        </is>
      </c>
      <c r="B9" s="8" t="n">
        <v>17.5</v>
      </c>
      <c r="C9" s="8" t="n">
        <v>15.4</v>
      </c>
      <c r="D9" s="8" t="n">
        <v>19.4</v>
      </c>
      <c r="E9" s="8" t="n">
        <v>21.7</v>
      </c>
      <c r="F9" s="8" t="n">
        <v>26.2</v>
      </c>
      <c r="G9" s="8" t="n">
        <v>35.1</v>
      </c>
      <c r="H9" s="8" t="n">
        <v>35.2</v>
      </c>
      <c r="I9" s="8" t="n">
        <v>31.6</v>
      </c>
      <c r="J9" s="8" t="n">
        <v>26.9</v>
      </c>
      <c r="K9" s="8" t="n">
        <v>20.7</v>
      </c>
      <c r="L9" s="8" t="n">
        <v>19.1</v>
      </c>
      <c r="M9" s="8" t="n">
        <v>14.4</v>
      </c>
      <c r="N9" s="9">
        <f>MAX(B9:M9)</f>
        <v/>
      </c>
    </row>
    <row r="10">
      <c r="A10" s="7" t="inlineStr">
        <is>
          <t>Apsolutni minimum</t>
        </is>
      </c>
      <c r="B10" s="8" t="n">
        <v>-8.300000000000001</v>
      </c>
      <c r="C10" s="8" t="n">
        <v>-4.1</v>
      </c>
      <c r="D10" s="8" t="n">
        <v>-2.1</v>
      </c>
      <c r="E10" s="8" t="n">
        <v>1.4</v>
      </c>
      <c r="F10" s="8" t="n">
        <v>6.7</v>
      </c>
      <c r="G10" s="8" t="n">
        <v>9.1</v>
      </c>
      <c r="H10" s="8" t="n">
        <v>14.8</v>
      </c>
      <c r="I10" s="8" t="n">
        <v>13</v>
      </c>
      <c r="J10" s="8" t="n">
        <v>6.7</v>
      </c>
      <c r="K10" s="8" t="n">
        <v>1.6</v>
      </c>
      <c r="L10" s="8" t="n">
        <v>-3</v>
      </c>
      <c r="M10" s="8" t="n">
        <v>-4.1</v>
      </c>
      <c r="N10" s="9">
        <f>MIN(B10:M10)</f>
        <v/>
      </c>
    </row>
    <row r="11">
      <c r="A11" s="7" t="inlineStr">
        <is>
          <t>Sr. br. mraznih dana</t>
        </is>
      </c>
      <c r="B11" s="10" t="n">
        <v>18</v>
      </c>
      <c r="C11" s="10" t="n">
        <v>9</v>
      </c>
      <c r="D11" s="10" t="n">
        <v>7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4</v>
      </c>
      <c r="M11" s="10" t="n">
        <v>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11</v>
      </c>
      <c r="H12" s="10" t="n">
        <v>15</v>
      </c>
      <c r="I12" s="10" t="n">
        <v>4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78.3</v>
      </c>
      <c r="C14" s="8" t="n">
        <v>80.5</v>
      </c>
      <c r="D14" s="8" t="n">
        <v>69.90000000000001</v>
      </c>
      <c r="E14" s="8" t="n">
        <v>76.40000000000001</v>
      </c>
      <c r="F14" s="8" t="n">
        <v>73.09999999999999</v>
      </c>
      <c r="G14" s="8" t="n">
        <v>64.3</v>
      </c>
      <c r="H14" s="8" t="n">
        <v>63.7</v>
      </c>
      <c r="I14" s="8" t="n">
        <v>74.2</v>
      </c>
      <c r="J14" s="8" t="n">
        <v>74.40000000000001</v>
      </c>
      <c r="K14" s="8" t="n">
        <v>80.90000000000001</v>
      </c>
      <c r="L14" s="8" t="n">
        <v>81.3</v>
      </c>
      <c r="M14" s="8" t="n">
        <v>82.7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219.6</v>
      </c>
      <c r="C16" s="8" t="n">
        <v>211.9</v>
      </c>
      <c r="D16" s="8" t="n">
        <v>312.8</v>
      </c>
      <c r="E16" s="8" t="n">
        <v>296.9</v>
      </c>
      <c r="F16" s="8" t="n">
        <v>367.6</v>
      </c>
      <c r="G16" s="8" t="n">
        <v>401.5</v>
      </c>
      <c r="H16" s="8" t="n">
        <v>402.1</v>
      </c>
      <c r="I16" s="8" t="n">
        <v>356.1</v>
      </c>
      <c r="J16" s="8" t="n">
        <v>304.4</v>
      </c>
      <c r="K16" s="8" t="n">
        <v>268.4</v>
      </c>
      <c r="L16" s="8" t="n">
        <v>209.1</v>
      </c>
      <c r="M16" s="8" t="n">
        <v>139.1</v>
      </c>
      <c r="N16" s="9">
        <f>SUM(B16:M16)</f>
        <v/>
      </c>
    </row>
    <row r="17">
      <c r="A17" s="7" t="inlineStr">
        <is>
          <t>Broj vedrih dana</t>
        </is>
      </c>
      <c r="B17" s="10" t="n">
        <v>8</v>
      </c>
      <c r="C17" s="10" t="n">
        <v>5</v>
      </c>
      <c r="D17" s="10" t="n">
        <v>6</v>
      </c>
      <c r="E17" s="10" t="n">
        <v>3</v>
      </c>
      <c r="F17" s="10" t="n">
        <v>6</v>
      </c>
      <c r="G17" s="10" t="n">
        <v>14</v>
      </c>
      <c r="H17" s="10" t="n">
        <v>12</v>
      </c>
      <c r="I17" s="10" t="n">
        <v>3</v>
      </c>
      <c r="J17" s="10" t="n">
        <v>6</v>
      </c>
      <c r="K17" s="10" t="n">
        <v>3</v>
      </c>
      <c r="L17" s="10" t="n">
        <v>3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7</v>
      </c>
      <c r="C18" s="10" t="n">
        <v>9</v>
      </c>
      <c r="D18" s="10" t="n">
        <v>9</v>
      </c>
      <c r="E18" s="10" t="n">
        <v>12</v>
      </c>
      <c r="F18" s="10" t="n">
        <v>8</v>
      </c>
      <c r="G18" s="10" t="n">
        <v>4</v>
      </c>
      <c r="H18" s="10" t="n">
        <v>4</v>
      </c>
      <c r="I18" s="10" t="n">
        <v>4</v>
      </c>
      <c r="J18" s="10" t="n">
        <v>8</v>
      </c>
      <c r="K18" s="10" t="n">
        <v>7</v>
      </c>
      <c r="L18" s="10" t="n">
        <v>13</v>
      </c>
      <c r="M18" s="10" t="n">
        <v>20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117.7</v>
      </c>
      <c r="C20" s="8" t="n">
        <v>90.90000000000001</v>
      </c>
      <c r="D20" s="8" t="n">
        <v>43.1</v>
      </c>
      <c r="E20" s="8" t="n">
        <v>195.4</v>
      </c>
      <c r="F20" s="8" t="n">
        <v>97.7</v>
      </c>
      <c r="G20" s="8" t="n">
        <v>42.2</v>
      </c>
      <c r="H20" s="8" t="n">
        <v>96.59999999999999</v>
      </c>
      <c r="I20" s="8" t="n">
        <v>205.2</v>
      </c>
      <c r="J20" s="8" t="n">
        <v>278.2</v>
      </c>
      <c r="K20" s="8" t="n">
        <v>329.4</v>
      </c>
      <c r="L20" s="8" t="n">
        <v>182.9</v>
      </c>
      <c r="M20" s="8" t="n">
        <v>156.7</v>
      </c>
      <c r="N20" s="9">
        <f>SUM(B20:M20)</f>
        <v/>
      </c>
    </row>
    <row r="21">
      <c r="A21" s="7" t="inlineStr">
        <is>
          <t>Max. dnevna suma</t>
        </is>
      </c>
      <c r="B21" s="8" t="n">
        <v>40.9</v>
      </c>
      <c r="C21" s="8" t="n">
        <v>23.8</v>
      </c>
      <c r="D21" s="8" t="n">
        <v>19.6</v>
      </c>
      <c r="E21" s="8" t="n">
        <v>54.3</v>
      </c>
      <c r="F21" s="8" t="n">
        <v>43.2</v>
      </c>
      <c r="G21" s="8" t="n">
        <v>13.5</v>
      </c>
      <c r="H21" s="8" t="n">
        <v>29.9</v>
      </c>
      <c r="I21" s="8" t="n">
        <v>67.90000000000001</v>
      </c>
      <c r="J21" s="8" t="n">
        <v>79.09999999999999</v>
      </c>
      <c r="K21" s="8" t="n">
        <v>138</v>
      </c>
      <c r="L21" s="8" t="n">
        <v>37.8</v>
      </c>
      <c r="M21" s="8" t="n">
        <v>22.4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14</v>
      </c>
      <c r="D22" s="10" t="n">
        <v>7</v>
      </c>
      <c r="E22" s="10" t="n">
        <v>22</v>
      </c>
      <c r="F22" s="10" t="n">
        <v>18</v>
      </c>
      <c r="G22" s="10" t="n">
        <v>10</v>
      </c>
      <c r="H22" s="10" t="n">
        <v>16</v>
      </c>
      <c r="I22" s="10" t="n">
        <v>21</v>
      </c>
      <c r="J22" s="10" t="n">
        <v>19</v>
      </c>
      <c r="K22" s="10" t="n">
        <v>16</v>
      </c>
      <c r="L22" s="10" t="n">
        <v>19</v>
      </c>
      <c r="M22" s="10" t="n">
        <v>20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5</v>
      </c>
      <c r="D23" s="10" t="n">
        <v>2</v>
      </c>
      <c r="E23" s="10" t="n">
        <v>6</v>
      </c>
      <c r="F23" s="10" t="n">
        <v>2</v>
      </c>
      <c r="G23" s="10" t="n">
        <v>2</v>
      </c>
      <c r="H23" s="10" t="n">
        <v>4</v>
      </c>
      <c r="I23" s="10" t="n">
        <v>5</v>
      </c>
      <c r="J23" s="10" t="n">
        <v>6</v>
      </c>
      <c r="K23" s="10" t="n">
        <v>6</v>
      </c>
      <c r="L23" s="10" t="n">
        <v>6</v>
      </c>
      <c r="M23" s="10" t="n">
        <v>6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2003.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4.4</v>
      </c>
      <c r="C6" s="8" t="n">
        <v>1</v>
      </c>
      <c r="D6" s="8" t="n">
        <v>6.9</v>
      </c>
      <c r="E6" s="8" t="n">
        <v>10.9</v>
      </c>
      <c r="F6" s="8" t="n">
        <v>19.8</v>
      </c>
      <c r="G6" s="8" t="n">
        <v>25.4</v>
      </c>
      <c r="H6" s="8" t="n">
        <v>25.8</v>
      </c>
      <c r="I6" s="8" t="n">
        <v>27.5</v>
      </c>
      <c r="J6" s="8" t="n">
        <v>18.7</v>
      </c>
      <c r="K6" s="8" t="n">
        <v>12.9</v>
      </c>
      <c r="L6" s="8" t="n">
        <v>10.1</v>
      </c>
      <c r="M6" s="8" t="n">
        <v>4.7</v>
      </c>
      <c r="N6" s="9">
        <f>AVERAGE(B6:M6)</f>
        <v/>
      </c>
    </row>
    <row r="7">
      <c r="A7" s="7" t="inlineStr">
        <is>
          <t>Srednja maksimalna</t>
        </is>
      </c>
      <c r="B7" s="8" t="n">
        <v>8.9</v>
      </c>
      <c r="C7" s="8" t="n">
        <v>6.7</v>
      </c>
      <c r="D7" s="8" t="n">
        <v>13.8</v>
      </c>
      <c r="E7" s="8" t="n">
        <v>16.6</v>
      </c>
      <c r="F7" s="8" t="n">
        <v>26.5</v>
      </c>
      <c r="G7" s="8" t="n">
        <v>31.8</v>
      </c>
      <c r="H7" s="8" t="n">
        <v>32</v>
      </c>
      <c r="I7" s="8" t="n">
        <v>34.3</v>
      </c>
      <c r="J7" s="8" t="n">
        <v>24.7</v>
      </c>
      <c r="K7" s="8" t="n">
        <v>17.4</v>
      </c>
      <c r="L7" s="8" t="n">
        <v>15</v>
      </c>
      <c r="M7" s="8" t="n">
        <v>9.699999999999999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0.3</v>
      </c>
      <c r="C8" s="8" t="n">
        <v>-3.9</v>
      </c>
      <c r="D8" s="8" t="n">
        <v>-0.3</v>
      </c>
      <c r="E8" s="8" t="n">
        <v>4.3</v>
      </c>
      <c r="F8" s="8" t="n">
        <v>11.5</v>
      </c>
      <c r="G8" s="8" t="n">
        <v>17.3</v>
      </c>
      <c r="H8" s="8" t="n">
        <v>17.8</v>
      </c>
      <c r="I8" s="8" t="n">
        <v>18.9</v>
      </c>
      <c r="J8" s="8" t="n">
        <v>12.5</v>
      </c>
      <c r="K8" s="8" t="n">
        <v>8.4</v>
      </c>
      <c r="L8" s="8" t="n">
        <v>6</v>
      </c>
      <c r="M8" s="8" t="n">
        <v>0.6</v>
      </c>
      <c r="N8" s="9">
        <f>AVERAGE(B8:M8)</f>
        <v/>
      </c>
    </row>
    <row r="9">
      <c r="A9" s="7" t="inlineStr">
        <is>
          <t>Apsolutni maksimum</t>
        </is>
      </c>
      <c r="B9" s="8" t="n">
        <v>13.3</v>
      </c>
      <c r="C9" s="8" t="n">
        <v>11.3</v>
      </c>
      <c r="D9" s="8" t="n">
        <v>19.4</v>
      </c>
      <c r="E9" s="8" t="n">
        <v>23.2</v>
      </c>
      <c r="F9" s="8" t="n">
        <v>30.8</v>
      </c>
      <c r="G9" s="8" t="n">
        <v>35.1</v>
      </c>
      <c r="H9" s="8" t="n">
        <v>37.5</v>
      </c>
      <c r="I9" s="8" t="n">
        <v>38.9</v>
      </c>
      <c r="J9" s="8" t="n">
        <v>29.1</v>
      </c>
      <c r="K9" s="8" t="n">
        <v>24.4</v>
      </c>
      <c r="L9" s="8" t="n">
        <v>18.3</v>
      </c>
      <c r="M9" s="8" t="n">
        <v>15.5</v>
      </c>
      <c r="N9" s="9">
        <f>MAX(B9:M9)</f>
        <v/>
      </c>
    </row>
    <row r="10">
      <c r="A10" s="7" t="inlineStr">
        <is>
          <t>Apsolutni minimum</t>
        </is>
      </c>
      <c r="B10" s="8" t="n">
        <v>-5.8</v>
      </c>
      <c r="C10" s="8" t="n">
        <v>-6.7</v>
      </c>
      <c r="D10" s="8" t="n">
        <v>-3.3</v>
      </c>
      <c r="E10" s="8" t="n">
        <v>-1.6</v>
      </c>
      <c r="F10" s="8" t="n">
        <v>8.699999999999999</v>
      </c>
      <c r="G10" s="8" t="n">
        <v>13.4</v>
      </c>
      <c r="H10" s="8" t="n">
        <v>14.1</v>
      </c>
      <c r="I10" s="8" t="n">
        <v>16.5</v>
      </c>
      <c r="J10" s="8" t="n">
        <v>8.5</v>
      </c>
      <c r="K10" s="8" t="n">
        <v>-0.1</v>
      </c>
      <c r="L10" s="8" t="n">
        <v>-0.5</v>
      </c>
      <c r="M10" s="8" t="n">
        <v>-4.3</v>
      </c>
      <c r="N10" s="9">
        <f>MIN(B10:M10)</f>
        <v/>
      </c>
    </row>
    <row r="11">
      <c r="A11" s="7" t="inlineStr">
        <is>
          <t>Sr. br. mraznih dana</t>
        </is>
      </c>
      <c r="B11" s="10" t="n">
        <v>14</v>
      </c>
      <c r="C11" s="10" t="n">
        <v>27</v>
      </c>
      <c r="D11" s="10" t="n">
        <v>17</v>
      </c>
      <c r="E11" s="10" t="n">
        <v>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2</v>
      </c>
      <c r="M11" s="10" t="n">
        <v>12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3</v>
      </c>
      <c r="G12" s="10" t="n">
        <v>25</v>
      </c>
      <c r="H12" s="10" t="n">
        <v>22</v>
      </c>
      <c r="I12" s="10" t="n">
        <v>30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79.8</v>
      </c>
      <c r="C14" s="8" t="n">
        <v>60.9</v>
      </c>
      <c r="D14" s="8" t="n">
        <v>64.40000000000001</v>
      </c>
      <c r="E14" s="8" t="n">
        <v>65.5</v>
      </c>
      <c r="F14" s="8" t="n">
        <v>62.5</v>
      </c>
      <c r="G14" s="8" t="n">
        <v>57.2</v>
      </c>
      <c r="H14" s="8" t="n">
        <v>49.9</v>
      </c>
      <c r="I14" s="8" t="n">
        <v>47.4</v>
      </c>
      <c r="J14" s="8" t="n">
        <v>63.6</v>
      </c>
      <c r="K14" s="8" t="n">
        <v>76.59999999999999</v>
      </c>
      <c r="L14" s="8" t="n">
        <v>83.40000000000001</v>
      </c>
      <c r="M14" s="8" t="n">
        <v>76.59999999999999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203.6</v>
      </c>
      <c r="C16" s="8" t="n">
        <v>259.3</v>
      </c>
      <c r="D16" s="8" t="n">
        <v>339</v>
      </c>
      <c r="E16" s="8" t="n">
        <v>336.6</v>
      </c>
      <c r="F16" s="8" t="n">
        <v>412.3</v>
      </c>
      <c r="G16" s="8" t="n">
        <v>411.2</v>
      </c>
      <c r="H16" s="8" t="n">
        <v>433.8</v>
      </c>
      <c r="I16" s="8" t="n">
        <v>401.1</v>
      </c>
      <c r="J16" s="8" t="n">
        <v>317.3</v>
      </c>
      <c r="K16" s="8" t="n">
        <v>245.8</v>
      </c>
      <c r="L16" s="8" t="n">
        <v>196.8</v>
      </c>
      <c r="M16" s="8" t="n">
        <v>197.5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14</v>
      </c>
      <c r="D17" s="10" t="n">
        <v>11</v>
      </c>
      <c r="E17" s="10" t="n">
        <v>7</v>
      </c>
      <c r="F17" s="10" t="n">
        <v>8</v>
      </c>
      <c r="G17" s="10" t="n">
        <v>5</v>
      </c>
      <c r="H17" s="10" t="n">
        <v>19</v>
      </c>
      <c r="I17" s="10" t="n">
        <v>20</v>
      </c>
      <c r="J17" s="10" t="n">
        <v>13</v>
      </c>
      <c r="K17" s="10" t="n">
        <v>3</v>
      </c>
      <c r="L17" s="10" t="n">
        <v>6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15</v>
      </c>
      <c r="C18" s="10" t="n">
        <v>6</v>
      </c>
      <c r="D18" s="10" t="n">
        <v>3</v>
      </c>
      <c r="E18" s="10" t="n">
        <v>6</v>
      </c>
      <c r="F18" s="10" t="n">
        <v>4</v>
      </c>
      <c r="G18" s="10" t="n">
        <v>1</v>
      </c>
      <c r="H18" s="10" t="n">
        <v>0</v>
      </c>
      <c r="I18" s="10" t="n">
        <v>2</v>
      </c>
      <c r="J18" s="10" t="n">
        <v>5</v>
      </c>
      <c r="K18" s="10" t="n">
        <v>11</v>
      </c>
      <c r="L18" s="10" t="n">
        <v>11</v>
      </c>
      <c r="M18" s="10" t="n">
        <v>10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237.8</v>
      </c>
      <c r="C20" s="8" t="n">
        <v>76.5</v>
      </c>
      <c r="D20" s="8" t="n">
        <v>4.3</v>
      </c>
      <c r="E20" s="8" t="n">
        <v>99.5</v>
      </c>
      <c r="F20" s="8" t="n">
        <v>33.4</v>
      </c>
      <c r="G20" s="8" t="n">
        <v>22.4</v>
      </c>
      <c r="H20" s="8" t="n">
        <v>14.1</v>
      </c>
      <c r="I20" s="8" t="n">
        <v>16.6</v>
      </c>
      <c r="J20" s="8" t="n">
        <v>131.7</v>
      </c>
      <c r="K20" s="8" t="n">
        <v>286.2</v>
      </c>
      <c r="L20" s="8" t="n">
        <v>325.1</v>
      </c>
      <c r="M20" s="8" t="n">
        <v>97.09999999999999</v>
      </c>
      <c r="N20" s="9">
        <f>SUM(B20:M20)</f>
        <v/>
      </c>
    </row>
    <row r="21">
      <c r="A21" s="7" t="inlineStr">
        <is>
          <t>Max. dnevna suma</t>
        </is>
      </c>
      <c r="B21" s="8" t="n">
        <v>45.5</v>
      </c>
      <c r="C21" s="8" t="n">
        <v>43.1</v>
      </c>
      <c r="D21" s="8" t="n">
        <v>3.3</v>
      </c>
      <c r="E21" s="8" t="n">
        <v>34.6</v>
      </c>
      <c r="F21" s="8" t="n">
        <v>24.5</v>
      </c>
      <c r="G21" s="8" t="n">
        <v>4.9</v>
      </c>
      <c r="H21" s="8" t="n">
        <v>8.699999999999999</v>
      </c>
      <c r="I21" s="8" t="n">
        <v>9.6</v>
      </c>
      <c r="J21" s="8" t="n">
        <v>50.8</v>
      </c>
      <c r="K21" s="8" t="n">
        <v>51.1</v>
      </c>
      <c r="L21" s="8" t="n">
        <v>91.3</v>
      </c>
      <c r="M21" s="8" t="n">
        <v>37.3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3</v>
      </c>
      <c r="D22" s="10" t="n">
        <v>4</v>
      </c>
      <c r="E22" s="10" t="n">
        <v>13</v>
      </c>
      <c r="F22" s="10" t="n">
        <v>12</v>
      </c>
      <c r="G22" s="10" t="n">
        <v>16</v>
      </c>
      <c r="H22" s="10" t="n">
        <v>10</v>
      </c>
      <c r="I22" s="10" t="n">
        <v>8</v>
      </c>
      <c r="J22" s="10" t="n">
        <v>10</v>
      </c>
      <c r="K22" s="10" t="n">
        <v>19</v>
      </c>
      <c r="L22" s="10" t="n">
        <v>14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11</v>
      </c>
      <c r="C23" s="10" t="n">
        <v>2</v>
      </c>
      <c r="D23" s="10" t="n">
        <v>0</v>
      </c>
      <c r="E23" s="10" t="n">
        <v>3</v>
      </c>
      <c r="F23" s="10" t="n">
        <v>1</v>
      </c>
      <c r="G23" s="10" t="n">
        <v>0</v>
      </c>
      <c r="H23" s="10" t="n">
        <v>0</v>
      </c>
      <c r="I23" s="10" t="n">
        <v>0</v>
      </c>
      <c r="J23" s="10" t="n">
        <v>3</v>
      </c>
      <c r="K23" s="10" t="n">
        <v>10</v>
      </c>
      <c r="L23" s="10" t="n">
        <v>7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4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4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2004.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2.6</v>
      </c>
      <c r="C6" s="8" t="n">
        <v>5</v>
      </c>
      <c r="D6" s="8" t="n">
        <v>7.4</v>
      </c>
      <c r="E6" s="8" t="n">
        <v>12.8</v>
      </c>
      <c r="F6" s="8" t="n">
        <v>14.3</v>
      </c>
      <c r="G6" s="8" t="n">
        <v>20.6</v>
      </c>
      <c r="H6" s="8" t="n">
        <v>24.5</v>
      </c>
      <c r="I6" s="8" t="n">
        <v>23.1</v>
      </c>
      <c r="J6" s="8" t="n">
        <v>19.7</v>
      </c>
      <c r="K6" s="8" t="n">
        <v>15.9</v>
      </c>
      <c r="L6" s="8" t="n">
        <v>8.5</v>
      </c>
      <c r="M6" s="8" t="n">
        <v>6</v>
      </c>
      <c r="N6" s="9">
        <f>AVERAGE(B6:M6)</f>
        <v/>
      </c>
    </row>
    <row r="7">
      <c r="A7" s="7" t="inlineStr">
        <is>
          <t>Srednja maksimalna</t>
        </is>
      </c>
      <c r="B7" s="8" t="n">
        <v>7</v>
      </c>
      <c r="C7" s="8" t="n">
        <v>10.2</v>
      </c>
      <c r="D7" s="8" t="n">
        <v>13</v>
      </c>
      <c r="E7" s="8" t="n">
        <v>17.4</v>
      </c>
      <c r="F7" s="8" t="n">
        <v>19.6</v>
      </c>
      <c r="G7" s="8" t="n">
        <v>26.3</v>
      </c>
      <c r="H7" s="8" t="n">
        <v>30.7</v>
      </c>
      <c r="I7" s="8" t="n">
        <v>29.5</v>
      </c>
      <c r="J7" s="8" t="n">
        <v>25.8</v>
      </c>
      <c r="K7" s="8" t="n">
        <v>20.8</v>
      </c>
      <c r="L7" s="8" t="n">
        <v>13.1</v>
      </c>
      <c r="M7" s="8" t="n">
        <v>10.7</v>
      </c>
      <c r="N7" s="9">
        <f>AVERAGE(B7:M7)</f>
        <v/>
      </c>
    </row>
    <row r="8">
      <c r="A8" s="7" t="inlineStr">
        <is>
          <t>Srednja minimalna</t>
        </is>
      </c>
      <c r="B8" s="8" t="n">
        <v>-1.3</v>
      </c>
      <c r="C8" s="8" t="n">
        <v>-0.1</v>
      </c>
      <c r="D8" s="8" t="n">
        <v>1.7</v>
      </c>
      <c r="E8" s="8" t="n">
        <v>7.7</v>
      </c>
      <c r="F8" s="8" t="n">
        <v>7.8</v>
      </c>
      <c r="G8" s="8" t="n">
        <v>13.5</v>
      </c>
      <c r="H8" s="8" t="n">
        <v>16.6</v>
      </c>
      <c r="I8" s="8" t="n">
        <v>15.7</v>
      </c>
      <c r="J8" s="8" t="n">
        <v>13.1</v>
      </c>
      <c r="K8" s="8" t="n">
        <v>11.2</v>
      </c>
      <c r="L8" s="8" t="n">
        <v>4.3</v>
      </c>
      <c r="M8" s="8" t="n">
        <v>2.2</v>
      </c>
      <c r="N8" s="9">
        <f>AVERAGE(B8:M8)</f>
        <v/>
      </c>
    </row>
    <row r="9">
      <c r="A9" s="7" t="inlineStr">
        <is>
          <t>Apsolutni maksimum</t>
        </is>
      </c>
      <c r="B9" s="8" t="n">
        <v>14.1</v>
      </c>
      <c r="C9" s="8" t="n">
        <v>16.5</v>
      </c>
      <c r="D9" s="8" t="n">
        <v>22.8</v>
      </c>
      <c r="E9" s="8" t="n">
        <v>21.9</v>
      </c>
      <c r="F9" s="8" t="n">
        <v>23.9</v>
      </c>
      <c r="G9" s="8" t="n">
        <v>32</v>
      </c>
      <c r="H9" s="8" t="n">
        <v>36.6</v>
      </c>
      <c r="I9" s="8" t="n">
        <v>32.5</v>
      </c>
      <c r="J9" s="8" t="n">
        <v>31.8</v>
      </c>
      <c r="K9" s="8" t="n">
        <v>24.3</v>
      </c>
      <c r="L9" s="8" t="n">
        <v>25.9</v>
      </c>
      <c r="M9" s="8" t="n">
        <v>16.1</v>
      </c>
      <c r="N9" s="9">
        <f>MAX(B9:M9)</f>
        <v/>
      </c>
    </row>
    <row r="10">
      <c r="A10" s="7" t="inlineStr">
        <is>
          <t>Apsolutni minimum</t>
        </is>
      </c>
      <c r="B10" s="8" t="n">
        <v>-6.7</v>
      </c>
      <c r="C10" s="8" t="n">
        <v>-6.7</v>
      </c>
      <c r="D10" s="8" t="n">
        <v>-7.8</v>
      </c>
      <c r="E10" s="8" t="n">
        <v>2.9</v>
      </c>
      <c r="F10" s="8" t="n">
        <v>3.5</v>
      </c>
      <c r="G10" s="8" t="n">
        <v>9.199999999999999</v>
      </c>
      <c r="H10" s="8" t="n">
        <v>12.3</v>
      </c>
      <c r="I10" s="8" t="n">
        <v>11.8</v>
      </c>
      <c r="J10" s="8" t="n">
        <v>7.7</v>
      </c>
      <c r="K10" s="8" t="n">
        <v>5.6</v>
      </c>
      <c r="L10" s="8" t="n">
        <v>-3.7</v>
      </c>
      <c r="M10" s="8" t="n">
        <v>-3.8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18</v>
      </c>
      <c r="D11" s="10" t="n">
        <v>10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8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19</v>
      </c>
      <c r="I12" s="10" t="n">
        <v>13</v>
      </c>
      <c r="J12" s="10" t="n">
        <v>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72</v>
      </c>
      <c r="C14" s="8" t="n">
        <v>75.90000000000001</v>
      </c>
      <c r="D14" s="8" t="n">
        <v>76.3</v>
      </c>
      <c r="E14" s="8" t="n">
        <v>78.59999999999999</v>
      </c>
      <c r="F14" s="8" t="n">
        <v>73.8</v>
      </c>
      <c r="G14" s="8" t="n">
        <v>69.59999999999999</v>
      </c>
      <c r="H14" s="8" t="n">
        <v>54.9</v>
      </c>
      <c r="I14" s="8" t="n">
        <v>62</v>
      </c>
      <c r="J14" s="8" t="n">
        <v>60.5</v>
      </c>
      <c r="K14" s="8" t="n">
        <v>82.3</v>
      </c>
      <c r="L14" s="8" t="n">
        <v>76.3</v>
      </c>
      <c r="M14" s="8" t="n">
        <v>79.5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203.2</v>
      </c>
      <c r="C16" s="8" t="n">
        <v>215.5</v>
      </c>
      <c r="D16" s="8" t="n">
        <v>272.6</v>
      </c>
      <c r="E16" s="8" t="n">
        <v>287.9</v>
      </c>
      <c r="F16" s="8" t="n">
        <v>366.3</v>
      </c>
      <c r="G16" s="8" t="n">
        <v>387.3</v>
      </c>
      <c r="H16" s="8" t="n">
        <v>422.4</v>
      </c>
      <c r="I16" s="8" t="n">
        <v>405.4</v>
      </c>
      <c r="J16" s="8" t="n">
        <v>333.5</v>
      </c>
      <c r="K16" s="8" t="n">
        <v>264</v>
      </c>
      <c r="L16" s="8" t="n">
        <v>169.9</v>
      </c>
      <c r="M16" s="8" t="n">
        <v>175.7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5</v>
      </c>
      <c r="D17" s="10" t="n">
        <v>6</v>
      </c>
      <c r="E17" s="10" t="n">
        <v>1</v>
      </c>
      <c r="F17" s="10" t="n">
        <v>6</v>
      </c>
      <c r="G17" s="10" t="n">
        <v>7</v>
      </c>
      <c r="H17" s="10" t="n">
        <v>20</v>
      </c>
      <c r="I17" s="10" t="n">
        <v>17</v>
      </c>
      <c r="J17" s="10" t="n">
        <v>13</v>
      </c>
      <c r="K17" s="10" t="n">
        <v>2</v>
      </c>
      <c r="L17" s="10" t="n">
        <v>4</v>
      </c>
      <c r="M17" s="10" t="n">
        <v>9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8</v>
      </c>
      <c r="D18" s="10" t="n">
        <v>14</v>
      </c>
      <c r="E18" s="10" t="n">
        <v>13</v>
      </c>
      <c r="F18" s="10" t="n">
        <v>7</v>
      </c>
      <c r="G18" s="10" t="n">
        <v>5</v>
      </c>
      <c r="H18" s="10" t="n">
        <v>1</v>
      </c>
      <c r="I18" s="10" t="n">
        <v>0</v>
      </c>
      <c r="J18" s="10" t="n">
        <v>3</v>
      </c>
      <c r="K18" s="10" t="n">
        <v>9</v>
      </c>
      <c r="L18" s="10" t="n">
        <v>17</v>
      </c>
      <c r="M18" s="10" t="n">
        <v>14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146.4</v>
      </c>
      <c r="C20" s="8" t="n">
        <v>209.7</v>
      </c>
      <c r="D20" s="8" t="n">
        <v>200.8</v>
      </c>
      <c r="E20" s="8" t="n">
        <v>201.6</v>
      </c>
      <c r="F20" s="8" t="n">
        <v>137.3</v>
      </c>
      <c r="G20" s="8" t="n">
        <v>81.09999999999999</v>
      </c>
      <c r="H20" s="8" t="n">
        <v>26.1</v>
      </c>
      <c r="I20" s="8" t="n">
        <v>62.5</v>
      </c>
      <c r="J20" s="8" t="n">
        <v>93.40000000000001</v>
      </c>
      <c r="K20" s="8" t="n">
        <v>170.3</v>
      </c>
      <c r="L20" s="8" t="n">
        <v>206.4</v>
      </c>
      <c r="M20" s="8" t="n">
        <v>250.1</v>
      </c>
      <c r="N20" s="9">
        <f>SUM(B20:M20)</f>
        <v/>
      </c>
    </row>
    <row r="21">
      <c r="A21" s="7" t="inlineStr">
        <is>
          <t>Max. dnevna suma</t>
        </is>
      </c>
      <c r="B21" s="8" t="n">
        <v>27.5</v>
      </c>
      <c r="C21" s="8" t="n">
        <v>47.4</v>
      </c>
      <c r="D21" s="8" t="n">
        <v>69.3</v>
      </c>
      <c r="E21" s="8" t="n">
        <v>35.8</v>
      </c>
      <c r="F21" s="8" t="n">
        <v>41.5</v>
      </c>
      <c r="G21" s="8" t="n">
        <v>18.7</v>
      </c>
      <c r="H21" s="8" t="n">
        <v>10.1</v>
      </c>
      <c r="I21" s="8" t="n">
        <v>17.5</v>
      </c>
      <c r="J21" s="8" t="n">
        <v>38.3</v>
      </c>
      <c r="K21" s="8" t="n">
        <v>55.4</v>
      </c>
      <c r="L21" s="8" t="n">
        <v>44.7</v>
      </c>
      <c r="M21" s="8" t="n">
        <v>56.3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14</v>
      </c>
      <c r="C22" s="10" t="n">
        <v>15</v>
      </c>
      <c r="D22" s="10" t="n">
        <v>14</v>
      </c>
      <c r="E22" s="10" t="n">
        <v>24</v>
      </c>
      <c r="F22" s="10" t="n">
        <v>19</v>
      </c>
      <c r="G22" s="10" t="n">
        <v>13</v>
      </c>
      <c r="H22" s="10" t="n">
        <v>6</v>
      </c>
      <c r="I22" s="10" t="n">
        <v>13</v>
      </c>
      <c r="J22" s="10" t="n">
        <v>10</v>
      </c>
      <c r="K22" s="10" t="n">
        <v>15</v>
      </c>
      <c r="L22" s="10" t="n">
        <v>19</v>
      </c>
      <c r="M22" s="10" t="n">
        <v>13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6</v>
      </c>
      <c r="C23" s="10" t="n">
        <v>8</v>
      </c>
      <c r="D23" s="10" t="n">
        <v>5</v>
      </c>
      <c r="E23" s="10" t="n">
        <v>7</v>
      </c>
      <c r="F23" s="10" t="n">
        <v>3</v>
      </c>
      <c r="G23" s="10" t="n">
        <v>5</v>
      </c>
      <c r="H23" s="10" t="n">
        <v>1</v>
      </c>
      <c r="I23" s="10" t="n">
        <v>2</v>
      </c>
      <c r="J23" s="10" t="n">
        <v>3</v>
      </c>
      <c r="K23" s="10" t="n">
        <v>4</v>
      </c>
      <c r="L23" s="10" t="n">
        <v>7</v>
      </c>
      <c r="M23" s="10" t="n">
        <v>7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1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1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1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2005.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1.1</v>
      </c>
      <c r="C6" s="8" t="n">
        <v>0.9</v>
      </c>
      <c r="D6" s="8" t="n">
        <v>7.1</v>
      </c>
      <c r="E6" s="8" t="n">
        <v>11.4</v>
      </c>
      <c r="F6" s="8" t="n">
        <v>17.4</v>
      </c>
      <c r="G6" s="8" t="n">
        <v>20.8</v>
      </c>
      <c r="H6" s="8" t="n">
        <v>24.1</v>
      </c>
      <c r="I6" s="8" t="n">
        <v>21.8</v>
      </c>
      <c r="J6" s="8" t="n">
        <v>19</v>
      </c>
      <c r="K6" s="8" t="n">
        <v>13.6</v>
      </c>
      <c r="L6" s="8" t="n">
        <v>8.1</v>
      </c>
      <c r="M6" s="8" t="n">
        <v>4.6</v>
      </c>
      <c r="N6" s="9">
        <f>AVERAGE(B6:M6)</f>
        <v/>
      </c>
    </row>
    <row r="7">
      <c r="A7" s="7" t="inlineStr">
        <is>
          <t>Srednja maksimalna</t>
        </is>
      </c>
      <c r="B7" s="8" t="n">
        <v>7.3</v>
      </c>
      <c r="C7" s="8" t="n">
        <v>6</v>
      </c>
      <c r="D7" s="8" t="n">
        <v>12.7</v>
      </c>
      <c r="E7" s="8" t="n">
        <v>16.6</v>
      </c>
      <c r="F7" s="8" t="n">
        <v>23.2</v>
      </c>
      <c r="G7" s="8" t="n">
        <v>26.7</v>
      </c>
      <c r="H7" s="8" t="n">
        <v>30.1</v>
      </c>
      <c r="I7" s="8" t="n">
        <v>27.5</v>
      </c>
      <c r="J7" s="8" t="n">
        <v>24.3</v>
      </c>
      <c r="K7" s="8" t="n">
        <v>19.2</v>
      </c>
      <c r="L7" s="8" t="n">
        <v>12.8</v>
      </c>
      <c r="M7" s="8" t="n">
        <v>8.1</v>
      </c>
      <c r="N7" s="9">
        <f>AVERAGE(B7:M7)</f>
        <v/>
      </c>
    </row>
    <row r="8">
      <c r="A8" s="7" t="inlineStr">
        <is>
          <t>Srednja minimalna</t>
        </is>
      </c>
      <c r="B8" s="8" t="n">
        <v>-3.7</v>
      </c>
      <c r="C8" s="8" t="n">
        <v>-4</v>
      </c>
      <c r="D8" s="8" t="n">
        <v>1.3</v>
      </c>
      <c r="E8" s="8" t="n">
        <v>5.3</v>
      </c>
      <c r="F8" s="8" t="n">
        <v>10.4</v>
      </c>
      <c r="G8" s="8" t="n">
        <v>13.2</v>
      </c>
      <c r="H8" s="8" t="n">
        <v>16.6</v>
      </c>
      <c r="I8" s="8" t="n">
        <v>15.4</v>
      </c>
      <c r="J8" s="8" t="n">
        <v>13.5</v>
      </c>
      <c r="K8" s="8" t="n">
        <v>8.4</v>
      </c>
      <c r="L8" s="8" t="n">
        <v>3.9</v>
      </c>
      <c r="M8" s="8" t="n">
        <v>1</v>
      </c>
      <c r="N8" s="9">
        <f>AVERAGE(B8:M8)</f>
        <v/>
      </c>
    </row>
    <row r="9">
      <c r="A9" s="7" t="inlineStr">
        <is>
          <t>Apsolutni maksimum</t>
        </is>
      </c>
      <c r="B9" s="8" t="n">
        <v>12.3</v>
      </c>
      <c r="C9" s="8" t="n">
        <v>12.3</v>
      </c>
      <c r="D9" s="8" t="n">
        <v>19.3</v>
      </c>
      <c r="E9" s="8" t="n">
        <v>22.9</v>
      </c>
      <c r="F9" s="8" t="n">
        <v>30.6</v>
      </c>
      <c r="G9" s="8" t="n">
        <v>33</v>
      </c>
      <c r="H9" s="8" t="n">
        <v>38.8</v>
      </c>
      <c r="I9" s="8" t="n">
        <v>35.9</v>
      </c>
      <c r="J9" s="8" t="n">
        <v>30.2</v>
      </c>
      <c r="K9" s="8" t="n">
        <v>23.4</v>
      </c>
      <c r="L9" s="8" t="n">
        <v>18.5</v>
      </c>
      <c r="M9" s="8" t="n">
        <v>12.7</v>
      </c>
      <c r="N9" s="9">
        <f>MAX(B9:M9)</f>
        <v/>
      </c>
    </row>
    <row r="10">
      <c r="A10" s="7" t="inlineStr">
        <is>
          <t>Apsolutni minimum</t>
        </is>
      </c>
      <c r="B10" s="8" t="n">
        <v>-16.4</v>
      </c>
      <c r="C10" s="8" t="n">
        <v>-11.2</v>
      </c>
      <c r="D10" s="8" t="n">
        <v>-6.8</v>
      </c>
      <c r="E10" s="8" t="n">
        <v>-1.1</v>
      </c>
      <c r="F10" s="8" t="n">
        <v>4.4</v>
      </c>
      <c r="G10" s="8" t="n">
        <v>6.7</v>
      </c>
      <c r="H10" s="8" t="n">
        <v>12.7</v>
      </c>
      <c r="I10" s="8" t="n">
        <v>10.4</v>
      </c>
      <c r="J10" s="8" t="n">
        <v>9.9</v>
      </c>
      <c r="K10" s="8" t="n">
        <v>0.7</v>
      </c>
      <c r="L10" s="8" t="n">
        <v>-2.6</v>
      </c>
      <c r="M10" s="8" t="n">
        <v>-5.1</v>
      </c>
      <c r="N10" s="9">
        <f>MIN(B10:M10)</f>
        <v/>
      </c>
    </row>
    <row r="11">
      <c r="A11" s="7" t="inlineStr">
        <is>
          <t>Sr. br. mraznih dana</t>
        </is>
      </c>
      <c r="B11" s="10" t="n">
        <v>30</v>
      </c>
      <c r="C11" s="10" t="n">
        <v>21</v>
      </c>
      <c r="D11" s="10" t="n">
        <v>13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6</v>
      </c>
      <c r="M11" s="10" t="n">
        <v>13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1</v>
      </c>
      <c r="G12" s="10" t="n">
        <v>10</v>
      </c>
      <c r="H12" s="10" t="n">
        <v>15</v>
      </c>
      <c r="I12" s="10" t="n">
        <v>6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76.09999999999999</v>
      </c>
      <c r="C14" s="8" t="n">
        <v>73.8</v>
      </c>
      <c r="D14" s="8" t="n">
        <v>73.2</v>
      </c>
      <c r="E14" s="8" t="n">
        <v>72.5</v>
      </c>
      <c r="F14" s="8" t="n">
        <v>71.40000000000001</v>
      </c>
      <c r="G14" s="8" t="n">
        <v>62.4</v>
      </c>
      <c r="H14" s="8" t="n">
        <v>59.7</v>
      </c>
      <c r="I14" s="8" t="n">
        <v>67.3</v>
      </c>
      <c r="J14" s="8" t="n">
        <v>73.2</v>
      </c>
      <c r="K14" s="8" t="n">
        <v>77.5</v>
      </c>
      <c r="L14" s="8" t="n">
        <v>81.8</v>
      </c>
      <c r="M14" s="8" t="n">
        <v>80.40000000000001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223.8</v>
      </c>
      <c r="C16" s="8" t="n">
        <v>208.6</v>
      </c>
      <c r="D16" s="8" t="n">
        <v>284.6</v>
      </c>
      <c r="E16" s="8" t="n">
        <v>320.8</v>
      </c>
      <c r="F16" s="8" t="n">
        <v>400.3</v>
      </c>
      <c r="G16" s="8" t="n">
        <v>392.1</v>
      </c>
      <c r="H16" s="8" t="n">
        <v>431.3</v>
      </c>
      <c r="I16" s="8" t="n">
        <v>386.9</v>
      </c>
      <c r="J16" s="8" t="n">
        <v>320.7</v>
      </c>
      <c r="K16" s="8" t="n">
        <v>272.8</v>
      </c>
      <c r="L16" s="8" t="n">
        <v>182.4</v>
      </c>
      <c r="M16" s="8" t="n">
        <v>156.4</v>
      </c>
      <c r="N16" s="9">
        <f>SUM(B16:M16)</f>
        <v/>
      </c>
    </row>
    <row r="17">
      <c r="A17" s="7" t="inlineStr">
        <is>
          <t>Broj vedrih dana</t>
        </is>
      </c>
      <c r="B17" s="10" t="n">
        <v>14</v>
      </c>
      <c r="C17" s="10" t="n">
        <v>9</v>
      </c>
      <c r="D17" s="10" t="n">
        <v>8</v>
      </c>
      <c r="E17" s="10" t="n">
        <v>8</v>
      </c>
      <c r="F17" s="10" t="n">
        <v>5</v>
      </c>
      <c r="G17" s="10" t="n">
        <v>11</v>
      </c>
      <c r="H17" s="10" t="n">
        <v>13</v>
      </c>
      <c r="I17" s="10" t="n">
        <v>8</v>
      </c>
      <c r="J17" s="10" t="n">
        <v>3</v>
      </c>
      <c r="K17" s="10" t="n">
        <v>12</v>
      </c>
      <c r="L17" s="10" t="n">
        <v>7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7</v>
      </c>
      <c r="C18" s="10" t="n">
        <v>12</v>
      </c>
      <c r="D18" s="10" t="n">
        <v>8</v>
      </c>
      <c r="E18" s="10" t="n">
        <v>8</v>
      </c>
      <c r="F18" s="10" t="n">
        <v>4</v>
      </c>
      <c r="G18" s="10" t="n">
        <v>3</v>
      </c>
      <c r="H18" s="10" t="n">
        <v>0</v>
      </c>
      <c r="I18" s="10" t="n">
        <v>0</v>
      </c>
      <c r="J18" s="10" t="n">
        <v>6</v>
      </c>
      <c r="K18" s="10" t="n">
        <v>6</v>
      </c>
      <c r="L18" s="10" t="n">
        <v>12</v>
      </c>
      <c r="M18" s="10" t="n">
        <v>14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56.7</v>
      </c>
      <c r="C20" s="8" t="n">
        <v>188.5</v>
      </c>
      <c r="D20" s="8" t="n">
        <v>145.6</v>
      </c>
      <c r="E20" s="8" t="n">
        <v>151.4</v>
      </c>
      <c r="F20" s="8" t="n">
        <v>69.7</v>
      </c>
      <c r="G20" s="8" t="n">
        <v>44.3</v>
      </c>
      <c r="H20" s="8" t="n">
        <v>49.7</v>
      </c>
      <c r="I20" s="8" t="n">
        <v>123.5</v>
      </c>
      <c r="J20" s="8" t="n">
        <v>134.5</v>
      </c>
      <c r="K20" s="8" t="n">
        <v>94.40000000000001</v>
      </c>
      <c r="L20" s="8" t="n">
        <v>200.6</v>
      </c>
      <c r="M20" s="8" t="n">
        <v>294.1</v>
      </c>
      <c r="N20" s="9">
        <f>SUM(B20:M20)</f>
        <v/>
      </c>
    </row>
    <row r="21">
      <c r="A21" s="7" t="inlineStr">
        <is>
          <t>Max. dnevna suma</t>
        </is>
      </c>
      <c r="B21" s="8" t="n">
        <v>21.1</v>
      </c>
      <c r="C21" s="8" t="n">
        <v>34.9</v>
      </c>
      <c r="D21" s="8" t="n">
        <v>58.3</v>
      </c>
      <c r="E21" s="8" t="n">
        <v>26.7</v>
      </c>
      <c r="F21" s="8" t="n">
        <v>16.6</v>
      </c>
      <c r="G21" s="8" t="n">
        <v>22.8</v>
      </c>
      <c r="H21" s="8" t="n">
        <v>13.7</v>
      </c>
      <c r="I21" s="8" t="n">
        <v>38.3</v>
      </c>
      <c r="J21" s="8" t="n">
        <v>45.3</v>
      </c>
      <c r="K21" s="8" t="n">
        <v>45.3</v>
      </c>
      <c r="L21" s="8" t="n">
        <v>35.6</v>
      </c>
      <c r="M21" s="8" t="n">
        <v>44.8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14</v>
      </c>
      <c r="D22" s="10" t="n">
        <v>15</v>
      </c>
      <c r="E22" s="10" t="n">
        <v>15</v>
      </c>
      <c r="F22" s="10" t="n">
        <v>19</v>
      </c>
      <c r="G22" s="10" t="n">
        <v>11</v>
      </c>
      <c r="H22" s="10" t="n">
        <v>18</v>
      </c>
      <c r="I22" s="10" t="n">
        <v>20</v>
      </c>
      <c r="J22" s="10" t="n">
        <v>14</v>
      </c>
      <c r="K22" s="10" t="n">
        <v>12</v>
      </c>
      <c r="L22" s="10" t="n">
        <v>17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8</v>
      </c>
      <c r="D23" s="10" t="n">
        <v>4</v>
      </c>
      <c r="E23" s="10" t="n">
        <v>6</v>
      </c>
      <c r="F23" s="10" t="n">
        <v>2</v>
      </c>
      <c r="G23" s="10" t="n">
        <v>2</v>
      </c>
      <c r="H23" s="10" t="n">
        <v>2</v>
      </c>
      <c r="I23" s="10" t="n">
        <v>4</v>
      </c>
      <c r="J23" s="10" t="n">
        <v>3</v>
      </c>
      <c r="K23" s="10" t="n">
        <v>3</v>
      </c>
      <c r="L23" s="10" t="n">
        <v>10</v>
      </c>
      <c r="M23" s="10" t="n">
        <v>10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6</v>
      </c>
      <c r="C25" s="10" t="n">
        <v>7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6</v>
      </c>
      <c r="C26" s="10" t="n">
        <v>7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2006.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2.2</v>
      </c>
      <c r="C6" s="8" t="n">
        <v>3.9</v>
      </c>
      <c r="D6" s="8" t="n">
        <v>7</v>
      </c>
      <c r="E6" s="8" t="n">
        <v>12.7</v>
      </c>
      <c r="F6" s="8" t="n">
        <v>16.8</v>
      </c>
      <c r="G6" s="8" t="n">
        <v>20.8</v>
      </c>
      <c r="H6" s="8" t="n">
        <v>25.5</v>
      </c>
      <c r="I6" s="8" t="n">
        <v>21.7</v>
      </c>
      <c r="J6" s="8" t="n">
        <v>19</v>
      </c>
      <c r="K6" s="8" t="n">
        <v>14.6</v>
      </c>
      <c r="L6" s="8" t="n">
        <v>7.5</v>
      </c>
      <c r="M6" s="8" t="n">
        <v>4.1</v>
      </c>
      <c r="N6" s="9">
        <f>AVERAGE(B6:M6)</f>
        <v/>
      </c>
    </row>
    <row r="7">
      <c r="A7" s="7" t="inlineStr">
        <is>
          <t>Srednja maksimalna</t>
        </is>
      </c>
      <c r="B7" s="8" t="n">
        <v>7.6</v>
      </c>
      <c r="C7" s="8" t="n">
        <v>9.1</v>
      </c>
      <c r="D7" s="8" t="n">
        <v>11.9</v>
      </c>
      <c r="E7" s="8" t="n">
        <v>18.1</v>
      </c>
      <c r="F7" s="8" t="n">
        <v>22.5</v>
      </c>
      <c r="G7" s="8" t="n">
        <v>27.2</v>
      </c>
      <c r="H7" s="8" t="n">
        <v>32.1</v>
      </c>
      <c r="I7" s="8" t="n">
        <v>27.1</v>
      </c>
      <c r="J7" s="8" t="n">
        <v>25.1</v>
      </c>
      <c r="K7" s="8" t="n">
        <v>20.5</v>
      </c>
      <c r="L7" s="8" t="n">
        <v>13.6</v>
      </c>
      <c r="M7" s="8" t="n">
        <v>10</v>
      </c>
      <c r="N7" s="9">
        <f>AVERAGE(B7:M7)</f>
        <v/>
      </c>
    </row>
    <row r="8">
      <c r="A8" s="7" t="inlineStr">
        <is>
          <t>Srednja minimalna</t>
        </is>
      </c>
      <c r="B8" s="8" t="n">
        <v>-2</v>
      </c>
      <c r="C8" s="8" t="n">
        <v>-0.5</v>
      </c>
      <c r="D8" s="8" t="n">
        <v>2.1</v>
      </c>
      <c r="E8" s="8" t="n">
        <v>6.3</v>
      </c>
      <c r="F8" s="8" t="n">
        <v>9.699999999999999</v>
      </c>
      <c r="G8" s="8" t="n">
        <v>12.9</v>
      </c>
      <c r="H8" s="8" t="n">
        <v>17.7</v>
      </c>
      <c r="I8" s="8" t="n">
        <v>15.5</v>
      </c>
      <c r="J8" s="8" t="n">
        <v>12.9</v>
      </c>
      <c r="K8" s="8" t="n">
        <v>8.9</v>
      </c>
      <c r="L8" s="8" t="n">
        <v>2.1</v>
      </c>
      <c r="M8" s="8" t="n">
        <v>-0.1</v>
      </c>
      <c r="N8" s="9">
        <f>AVERAGE(B8:M8)</f>
        <v/>
      </c>
    </row>
    <row r="9">
      <c r="A9" s="7" t="inlineStr">
        <is>
          <t>Apsolutni maksimum</t>
        </is>
      </c>
      <c r="B9" s="8" t="n">
        <v>14.3</v>
      </c>
      <c r="C9" s="8" t="n">
        <v>13.4</v>
      </c>
      <c r="D9" s="8" t="n">
        <v>18.2</v>
      </c>
      <c r="E9" s="8" t="n">
        <v>23.6</v>
      </c>
      <c r="F9" s="8" t="n">
        <v>29.5</v>
      </c>
      <c r="G9" s="8" t="n">
        <v>37.9</v>
      </c>
      <c r="H9" s="8" t="n">
        <v>36.6</v>
      </c>
      <c r="I9" s="8" t="n">
        <v>35.3</v>
      </c>
      <c r="J9" s="8" t="n">
        <v>31.4</v>
      </c>
      <c r="K9" s="8" t="n">
        <v>25</v>
      </c>
      <c r="L9" s="8" t="n">
        <v>16.6</v>
      </c>
      <c r="M9" s="8" t="n">
        <v>14.7</v>
      </c>
      <c r="N9" s="9">
        <f>MAX(B9:M9)</f>
        <v/>
      </c>
    </row>
    <row r="10">
      <c r="A10" s="7" t="inlineStr">
        <is>
          <t>Apsolutni minimum</t>
        </is>
      </c>
      <c r="B10" s="8" t="n">
        <v>-8.5</v>
      </c>
      <c r="C10" s="8" t="n">
        <v>-6</v>
      </c>
      <c r="D10" s="8" t="n">
        <v>-4</v>
      </c>
      <c r="E10" s="8" t="n">
        <v>0.8</v>
      </c>
      <c r="F10" s="8" t="n">
        <v>4.6</v>
      </c>
      <c r="G10" s="8" t="n">
        <v>7.1</v>
      </c>
      <c r="H10" s="8" t="n">
        <v>14</v>
      </c>
      <c r="I10" s="8" t="n">
        <v>7.2</v>
      </c>
      <c r="J10" s="8" t="n">
        <v>8.199999999999999</v>
      </c>
      <c r="K10" s="8" t="n">
        <v>0.2</v>
      </c>
      <c r="L10" s="8" t="n">
        <v>-2.7</v>
      </c>
      <c r="M10" s="8" t="n">
        <v>-5</v>
      </c>
      <c r="N10" s="9">
        <f>MIN(B10:M10)</f>
        <v/>
      </c>
    </row>
    <row r="11">
      <c r="A11" s="7" t="inlineStr">
        <is>
          <t>Sr. br. mraznih dana</t>
        </is>
      </c>
      <c r="B11" s="10" t="n">
        <v>24</v>
      </c>
      <c r="C11" s="10" t="n">
        <v>16</v>
      </c>
      <c r="D11" s="10" t="n">
        <v>10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20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13</v>
      </c>
      <c r="H12" s="10" t="n">
        <v>24</v>
      </c>
      <c r="I12" s="10" t="n">
        <v>6</v>
      </c>
      <c r="J12" s="10" t="n">
        <v>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71.90000000000001</v>
      </c>
      <c r="C14" s="8" t="n">
        <v>74.5</v>
      </c>
      <c r="D14" s="8" t="n">
        <v>75.3</v>
      </c>
      <c r="E14" s="8" t="n">
        <v>74.59999999999999</v>
      </c>
      <c r="F14" s="8" t="n">
        <v>70.5</v>
      </c>
      <c r="G14" s="8" t="n">
        <v>65.2</v>
      </c>
      <c r="H14" s="8" t="n">
        <v>54.2</v>
      </c>
      <c r="I14" s="8" t="n">
        <v>69.5</v>
      </c>
      <c r="J14" s="8" t="n">
        <v>72</v>
      </c>
      <c r="K14" s="8" t="n">
        <v>76.09999999999999</v>
      </c>
      <c r="L14" s="8" t="n">
        <v>78.8</v>
      </c>
      <c r="M14" s="8" t="n">
        <v>81.2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203.6</v>
      </c>
      <c r="C16" s="8" t="n">
        <v>209.1</v>
      </c>
      <c r="D16" s="8" t="n">
        <v>260.1</v>
      </c>
      <c r="E16" s="8" t="n">
        <v>309.8</v>
      </c>
      <c r="F16" s="8" t="n">
        <v>393.4</v>
      </c>
      <c r="G16" s="8" t="n">
        <v>393.1</v>
      </c>
      <c r="H16" s="8" t="n">
        <v>421.5</v>
      </c>
      <c r="I16" s="8" t="n">
        <v>372</v>
      </c>
      <c r="J16" s="8" t="n">
        <v>304.2</v>
      </c>
      <c r="K16" s="8" t="n">
        <v>287.4</v>
      </c>
      <c r="L16" s="8" t="n">
        <v>239.3</v>
      </c>
      <c r="M16" s="8" t="n">
        <v>201.8</v>
      </c>
      <c r="N16" s="9">
        <f>SUM(B16:M16)</f>
        <v/>
      </c>
    </row>
    <row r="17">
      <c r="A17" s="7" t="inlineStr">
        <is>
          <t>Broj vedrih dana</t>
        </is>
      </c>
      <c r="B17" s="10" t="n">
        <v>12</v>
      </c>
      <c r="C17" s="10" t="n">
        <v>5</v>
      </c>
      <c r="D17" s="10" t="n">
        <v>2</v>
      </c>
      <c r="E17" s="10" t="n">
        <v>5</v>
      </c>
      <c r="F17" s="10" t="n">
        <v>5</v>
      </c>
      <c r="G17" s="10" t="n">
        <v>10</v>
      </c>
      <c r="H17" s="10" t="n">
        <v>11</v>
      </c>
      <c r="I17" s="10" t="n">
        <v>6</v>
      </c>
      <c r="J17" s="10" t="n">
        <v>10</v>
      </c>
      <c r="K17" s="10" t="n">
        <v>13</v>
      </c>
      <c r="L17" s="10" t="n">
        <v>12</v>
      </c>
      <c r="M17" s="10" t="n">
        <v>12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8</v>
      </c>
      <c r="D18" s="10" t="n">
        <v>15</v>
      </c>
      <c r="E18" s="10" t="n">
        <v>8</v>
      </c>
      <c r="F18" s="10" t="n">
        <v>4</v>
      </c>
      <c r="G18" s="10" t="n">
        <v>4</v>
      </c>
      <c r="H18" s="10" t="n">
        <v>0</v>
      </c>
      <c r="I18" s="10" t="n">
        <v>4</v>
      </c>
      <c r="J18" s="10" t="n">
        <v>6</v>
      </c>
      <c r="K18" s="10" t="n">
        <v>5</v>
      </c>
      <c r="L18" s="10" t="n">
        <v>7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101.9</v>
      </c>
      <c r="C20" s="8" t="n">
        <v>112.7</v>
      </c>
      <c r="D20" s="8" t="n">
        <v>155.1</v>
      </c>
      <c r="E20" s="8" t="n">
        <v>118.9</v>
      </c>
      <c r="F20" s="8" t="n">
        <v>43.7</v>
      </c>
      <c r="G20" s="8" t="n">
        <v>55.4</v>
      </c>
      <c r="H20" s="8" t="n">
        <v>33.2</v>
      </c>
      <c r="I20" s="8" t="n">
        <v>148.5</v>
      </c>
      <c r="J20" s="8" t="n">
        <v>165</v>
      </c>
      <c r="K20" s="8" t="n">
        <v>88</v>
      </c>
      <c r="L20" s="8" t="n">
        <v>80.7</v>
      </c>
      <c r="M20" s="8" t="n">
        <v>132.9</v>
      </c>
      <c r="N20" s="9">
        <f>SUM(B20:M20)</f>
        <v/>
      </c>
    </row>
    <row r="21">
      <c r="A21" s="7" t="inlineStr">
        <is>
          <t>Max. dnevna suma</t>
        </is>
      </c>
      <c r="B21" s="8" t="n">
        <v>33.5</v>
      </c>
      <c r="C21" s="8" t="n">
        <v>27.5</v>
      </c>
      <c r="D21" s="8" t="n">
        <v>28.1</v>
      </c>
      <c r="E21" s="8" t="n">
        <v>28.7</v>
      </c>
      <c r="F21" s="8" t="n">
        <v>16.7</v>
      </c>
      <c r="G21" s="8" t="n">
        <v>14.5</v>
      </c>
      <c r="H21" s="8" t="n">
        <v>10.2</v>
      </c>
      <c r="I21" s="8" t="n">
        <v>32.9</v>
      </c>
      <c r="J21" s="8" t="n">
        <v>71.5</v>
      </c>
      <c r="K21" s="8" t="n">
        <v>30.6</v>
      </c>
      <c r="L21" s="8" t="n">
        <v>31.8</v>
      </c>
      <c r="M21" s="8" t="n">
        <v>55.9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10</v>
      </c>
      <c r="C22" s="10" t="n">
        <v>17</v>
      </c>
      <c r="D22" s="10" t="n">
        <v>19</v>
      </c>
      <c r="E22" s="10" t="n">
        <v>21</v>
      </c>
      <c r="F22" s="10" t="n">
        <v>12</v>
      </c>
      <c r="G22" s="10" t="n">
        <v>18</v>
      </c>
      <c r="H22" s="10" t="n">
        <v>17</v>
      </c>
      <c r="I22" s="10" t="n">
        <v>20</v>
      </c>
      <c r="J22" s="10" t="n">
        <v>9</v>
      </c>
      <c r="K22" s="10" t="n">
        <v>7</v>
      </c>
      <c r="L22" s="10" t="n">
        <v>8</v>
      </c>
      <c r="M22" s="10" t="n">
        <v>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4</v>
      </c>
      <c r="D23" s="10" t="n">
        <v>6</v>
      </c>
      <c r="E23" s="10" t="n">
        <v>3</v>
      </c>
      <c r="F23" s="10" t="n">
        <v>2</v>
      </c>
      <c r="G23" s="10" t="n">
        <v>2</v>
      </c>
      <c r="H23" s="10" t="n">
        <v>1</v>
      </c>
      <c r="I23" s="10" t="n">
        <v>6</v>
      </c>
      <c r="J23" s="10" t="n">
        <v>4</v>
      </c>
      <c r="K23" s="10" t="n">
        <v>3</v>
      </c>
      <c r="L23" s="10" t="n">
        <v>3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3</v>
      </c>
      <c r="D25" s="10" t="n">
        <v>6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3</v>
      </c>
      <c r="D26" s="10" t="n">
        <v>6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2007.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5.8</v>
      </c>
      <c r="C6" s="8" t="n">
        <v>7.1</v>
      </c>
      <c r="D6" s="8" t="n">
        <v>9.300000000000001</v>
      </c>
      <c r="E6" s="8" t="n">
        <v>14.1</v>
      </c>
      <c r="F6" s="8" t="n">
        <v>18</v>
      </c>
      <c r="G6" s="8" t="n">
        <v>22.5</v>
      </c>
      <c r="H6" s="8" t="n">
        <v>26.2</v>
      </c>
      <c r="I6" s="8" t="n">
        <v>25</v>
      </c>
      <c r="J6" s="8" t="n">
        <v>16.9</v>
      </c>
      <c r="K6" s="8" t="n">
        <v>13.1</v>
      </c>
      <c r="L6" s="8" t="n">
        <v>6.4</v>
      </c>
      <c r="M6" s="8" t="n">
        <v>2.6</v>
      </c>
      <c r="N6" s="9">
        <f>AVERAGE(B6:M6)</f>
        <v/>
      </c>
    </row>
    <row r="7">
      <c r="A7" s="7" t="inlineStr">
        <is>
          <t>Srednja maksimalna</t>
        </is>
      </c>
      <c r="B7" s="8" t="n">
        <v>11.1</v>
      </c>
      <c r="C7" s="8" t="n">
        <v>12</v>
      </c>
      <c r="D7" s="8" t="n">
        <v>14.4</v>
      </c>
      <c r="E7" s="8" t="n">
        <v>20.8</v>
      </c>
      <c r="F7" s="8" t="n">
        <v>23.3</v>
      </c>
      <c r="G7" s="8" t="n">
        <v>28.3</v>
      </c>
      <c r="H7" s="8" t="n">
        <v>32.8</v>
      </c>
      <c r="I7" s="8" t="n">
        <v>31.3</v>
      </c>
      <c r="J7" s="8" t="n">
        <v>22.6</v>
      </c>
      <c r="K7" s="8" t="n">
        <v>18.4</v>
      </c>
      <c r="L7" s="8" t="n">
        <v>11.5</v>
      </c>
      <c r="M7" s="8" t="n">
        <v>8.1</v>
      </c>
      <c r="N7" s="9">
        <f>AVERAGE(B7:M7)</f>
        <v/>
      </c>
    </row>
    <row r="8">
      <c r="A8" s="7" t="inlineStr">
        <is>
          <t>Srednja minimalna</t>
        </is>
      </c>
      <c r="B8" s="8" t="n">
        <v>1.1</v>
      </c>
      <c r="C8" s="8" t="n">
        <v>2.3</v>
      </c>
      <c r="D8" s="8" t="n">
        <v>4.2</v>
      </c>
      <c r="E8" s="8" t="n">
        <v>6.2</v>
      </c>
      <c r="F8" s="8" t="n">
        <v>11.4</v>
      </c>
      <c r="G8" s="8" t="n">
        <v>15.2</v>
      </c>
      <c r="H8" s="8" t="n">
        <v>17.4</v>
      </c>
      <c r="I8" s="8" t="n">
        <v>17.3</v>
      </c>
      <c r="J8" s="8" t="n">
        <v>10.7</v>
      </c>
      <c r="K8" s="8" t="n">
        <v>8.199999999999999</v>
      </c>
      <c r="L8" s="8" t="n">
        <v>1.7</v>
      </c>
      <c r="M8" s="8" t="n">
        <v>-1.3</v>
      </c>
      <c r="N8" s="9">
        <f>AVERAGE(B8:M8)</f>
        <v/>
      </c>
    </row>
    <row r="9">
      <c r="A9" s="7" t="inlineStr">
        <is>
          <t>Apsolutni maksimum</t>
        </is>
      </c>
      <c r="B9" s="8" t="n">
        <v>15.7</v>
      </c>
      <c r="C9" s="8" t="n">
        <v>16.4</v>
      </c>
      <c r="D9" s="8" t="n">
        <v>18.9</v>
      </c>
      <c r="E9" s="8" t="n">
        <v>24.9</v>
      </c>
      <c r="F9" s="8" t="n">
        <v>28.9</v>
      </c>
      <c r="G9" s="8" t="n">
        <v>34.4</v>
      </c>
      <c r="H9" s="8" t="n">
        <v>38.6</v>
      </c>
      <c r="I9" s="8" t="n">
        <v>39.4</v>
      </c>
      <c r="J9" s="8" t="n">
        <v>28.2</v>
      </c>
      <c r="K9" s="8" t="n">
        <v>26.2</v>
      </c>
      <c r="L9" s="8" t="n">
        <v>17</v>
      </c>
      <c r="M9" s="8" t="n">
        <v>11.6</v>
      </c>
      <c r="N9" s="9">
        <f>MAX(B9:M9)</f>
        <v/>
      </c>
    </row>
    <row r="10">
      <c r="A10" s="7" t="inlineStr">
        <is>
          <t>Apsolutni minimum</t>
        </is>
      </c>
      <c r="B10" s="8" t="n">
        <v>-3.8</v>
      </c>
      <c r="C10" s="8" t="n">
        <v>-3.2</v>
      </c>
      <c r="D10" s="8" t="n">
        <v>-0.4</v>
      </c>
      <c r="E10" s="8" t="n">
        <v>1.6</v>
      </c>
      <c r="F10" s="8" t="n">
        <v>6.4</v>
      </c>
      <c r="G10" s="8" t="n">
        <v>9.699999999999999</v>
      </c>
      <c r="H10" s="8" t="n">
        <v>12.3</v>
      </c>
      <c r="I10" s="8" t="n">
        <v>12.6</v>
      </c>
      <c r="J10" s="8" t="n">
        <v>5.5</v>
      </c>
      <c r="K10" s="8" t="n">
        <v>1</v>
      </c>
      <c r="L10" s="8" t="n">
        <v>-4.5</v>
      </c>
      <c r="M10" s="8" t="n">
        <v>-5.9</v>
      </c>
      <c r="N10" s="9">
        <f>MIN(B10:M10)</f>
        <v/>
      </c>
    </row>
    <row r="11">
      <c r="A11" s="7" t="inlineStr">
        <is>
          <t>Sr. br. mraznih dana</t>
        </is>
      </c>
      <c r="B11" s="10" t="n">
        <v>13</v>
      </c>
      <c r="C11" s="10" t="n">
        <v>9</v>
      </c>
      <c r="D11" s="10" t="n">
        <v>1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11</v>
      </c>
      <c r="M11" s="10" t="n">
        <v>21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9</v>
      </c>
      <c r="H12" s="10" t="n">
        <v>22</v>
      </c>
      <c r="I12" s="10" t="n">
        <v>21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83.90000000000001</v>
      </c>
      <c r="C14" s="8" t="n">
        <v>80.5</v>
      </c>
      <c r="D14" s="8" t="n">
        <v>76.90000000000001</v>
      </c>
      <c r="E14" s="8" t="n">
        <v>69.7</v>
      </c>
      <c r="F14" s="8" t="n">
        <v>72.3</v>
      </c>
      <c r="G14" s="8" t="n">
        <v>67.09999999999999</v>
      </c>
      <c r="H14" s="8" t="n">
        <v>46.6</v>
      </c>
      <c r="I14" s="8" t="n">
        <v>53.1</v>
      </c>
      <c r="J14" s="8" t="n">
        <v>66.59999999999999</v>
      </c>
      <c r="K14" s="8" t="n">
        <v>74</v>
      </c>
      <c r="L14" s="8" t="n">
        <v>76.59999999999999</v>
      </c>
      <c r="M14" s="8" t="n">
        <v>76.8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205.5</v>
      </c>
      <c r="C16" s="8" t="n">
        <v>197.2</v>
      </c>
      <c r="D16" s="8" t="n">
        <v>255.3</v>
      </c>
      <c r="E16" s="8" t="n">
        <v>364.4</v>
      </c>
      <c r="F16" s="8" t="n">
        <v>374.6</v>
      </c>
      <c r="G16" s="8" t="n">
        <v>400.8</v>
      </c>
      <c r="H16" s="8" t="n">
        <v>434.1</v>
      </c>
      <c r="I16" s="8" t="n">
        <v>409.3</v>
      </c>
      <c r="J16" s="8" t="n">
        <v>318</v>
      </c>
      <c r="K16" s="8" t="n">
        <v>247.5</v>
      </c>
      <c r="L16" s="8" t="n">
        <v>197</v>
      </c>
      <c r="M16" s="8" t="n">
        <v>204.4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5</v>
      </c>
      <c r="D17" s="10" t="n">
        <v>6</v>
      </c>
      <c r="E17" s="10" t="n">
        <v>14</v>
      </c>
      <c r="F17" s="10" t="n">
        <v>5</v>
      </c>
      <c r="G17" s="10" t="n">
        <v>12</v>
      </c>
      <c r="H17" s="10" t="n">
        <v>27</v>
      </c>
      <c r="I17" s="10" t="n">
        <v>17</v>
      </c>
      <c r="J17" s="10" t="n">
        <v>11</v>
      </c>
      <c r="K17" s="10" t="n">
        <v>6</v>
      </c>
      <c r="L17" s="10" t="n">
        <v>6</v>
      </c>
      <c r="M17" s="10" t="n">
        <v>12</v>
      </c>
      <c r="N17" s="11">
        <f>SUM(B17:M17)</f>
        <v/>
      </c>
    </row>
    <row r="18">
      <c r="A18" s="7" t="inlineStr">
        <is>
          <t>Broj oblačnih dana</t>
        </is>
      </c>
      <c r="B18" s="10" t="n">
        <v>8</v>
      </c>
      <c r="C18" s="10" t="n">
        <v>9</v>
      </c>
      <c r="D18" s="10" t="n">
        <v>15</v>
      </c>
      <c r="E18" s="10" t="n">
        <v>2</v>
      </c>
      <c r="F18" s="10" t="n">
        <v>5</v>
      </c>
      <c r="G18" s="10" t="n">
        <v>3</v>
      </c>
      <c r="H18" s="10" t="n">
        <v>0</v>
      </c>
      <c r="I18" s="10" t="n">
        <v>0</v>
      </c>
      <c r="J18" s="10" t="n">
        <v>5</v>
      </c>
      <c r="K18" s="10" t="n">
        <v>11</v>
      </c>
      <c r="L18" s="10" t="n">
        <v>12</v>
      </c>
      <c r="M18" s="10" t="n">
        <v>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103.9</v>
      </c>
      <c r="C20" s="8" t="n">
        <v>187.1</v>
      </c>
      <c r="D20" s="8" t="n">
        <v>147.7</v>
      </c>
      <c r="E20" s="8" t="n">
        <v>26.1</v>
      </c>
      <c r="F20" s="8" t="n">
        <v>140</v>
      </c>
      <c r="G20" s="8" t="n">
        <v>36.4</v>
      </c>
      <c r="H20" s="8" t="n">
        <v>10.7</v>
      </c>
      <c r="I20" s="8" t="n">
        <v>29.8</v>
      </c>
      <c r="J20" s="8" t="n">
        <v>194.9</v>
      </c>
      <c r="K20" s="8" t="n">
        <v>166.7</v>
      </c>
      <c r="L20" s="8" t="n">
        <v>169.9</v>
      </c>
      <c r="M20" s="8" t="n">
        <v>115.2</v>
      </c>
      <c r="N20" s="9">
        <f>SUM(B20:M20)</f>
        <v/>
      </c>
    </row>
    <row r="21">
      <c r="A21" s="7" t="inlineStr">
        <is>
          <t>Max. dnevna suma</t>
        </is>
      </c>
      <c r="B21" s="8" t="n">
        <v>30.1</v>
      </c>
      <c r="C21" s="8" t="n">
        <v>38.1</v>
      </c>
      <c r="D21" s="8" t="n">
        <v>25.6</v>
      </c>
      <c r="E21" s="8" t="n">
        <v>11.1</v>
      </c>
      <c r="F21" s="8" t="n">
        <v>27.2</v>
      </c>
      <c r="G21" s="8" t="n">
        <v>10.9</v>
      </c>
      <c r="H21" s="8" t="n">
        <v>7.6</v>
      </c>
      <c r="I21" s="8" t="n">
        <v>20.6</v>
      </c>
      <c r="J21" s="8" t="n">
        <v>41.3</v>
      </c>
      <c r="K21" s="8" t="n">
        <v>46.2</v>
      </c>
      <c r="L21" s="8" t="n">
        <v>33.9</v>
      </c>
      <c r="M21" s="8" t="n">
        <v>28.2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17</v>
      </c>
      <c r="D22" s="10" t="n">
        <v>20</v>
      </c>
      <c r="E22" s="10" t="n">
        <v>11</v>
      </c>
      <c r="F22" s="10" t="n">
        <v>16</v>
      </c>
      <c r="G22" s="10" t="n">
        <v>9</v>
      </c>
      <c r="H22" s="10" t="n">
        <v>4</v>
      </c>
      <c r="I22" s="10" t="n">
        <v>11</v>
      </c>
      <c r="J22" s="10" t="n">
        <v>12</v>
      </c>
      <c r="K22" s="10" t="n">
        <v>17</v>
      </c>
      <c r="L22" s="10" t="n">
        <v>14</v>
      </c>
      <c r="M22" s="10" t="n">
        <v>11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5</v>
      </c>
      <c r="D23" s="10" t="n">
        <v>6</v>
      </c>
      <c r="E23" s="10" t="n">
        <v>1</v>
      </c>
      <c r="F23" s="10" t="n">
        <v>7</v>
      </c>
      <c r="G23" s="10" t="n">
        <v>1</v>
      </c>
      <c r="H23" s="10" t="n">
        <v>0</v>
      </c>
      <c r="I23" s="10" t="n">
        <v>1</v>
      </c>
      <c r="J23" s="10" t="n">
        <v>7</v>
      </c>
      <c r="K23" s="10" t="n">
        <v>6</v>
      </c>
      <c r="L23" s="10" t="n">
        <v>7</v>
      </c>
      <c r="M23" s="10" t="n">
        <v>4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2008.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4.8</v>
      </c>
      <c r="C6" s="8" t="n">
        <v>5.1</v>
      </c>
      <c r="D6" s="8" t="n">
        <v>8.699999999999999</v>
      </c>
      <c r="E6" s="8" t="n">
        <v>11.9</v>
      </c>
      <c r="F6" s="8" t="n">
        <v>16.9</v>
      </c>
      <c r="G6" s="8" t="n">
        <v>21.4</v>
      </c>
      <c r="H6" s="8" t="n">
        <v>24.1</v>
      </c>
      <c r="I6" s="8" t="n">
        <v>25.5</v>
      </c>
      <c r="J6" s="8" t="n">
        <v>18.2</v>
      </c>
      <c r="K6" s="8" t="n">
        <v>14.3</v>
      </c>
      <c r="L6" s="8" t="n">
        <v>9.5</v>
      </c>
      <c r="M6" s="8" t="n">
        <v>5.7</v>
      </c>
      <c r="N6" s="9">
        <f>AVERAGE(B6:M6)</f>
        <v/>
      </c>
    </row>
    <row r="7">
      <c r="A7" s="7" t="inlineStr">
        <is>
          <t>Srednja maksimalna</t>
        </is>
      </c>
      <c r="B7" s="8" t="n">
        <v>10</v>
      </c>
      <c r="C7" s="8" t="n">
        <v>11.3</v>
      </c>
      <c r="D7" s="8" t="n">
        <v>13.5</v>
      </c>
      <c r="E7" s="8" t="n">
        <v>17</v>
      </c>
      <c r="F7" s="8" t="n">
        <v>22.5</v>
      </c>
      <c r="G7" s="8" t="n">
        <v>27</v>
      </c>
      <c r="H7" s="8" t="n">
        <v>30</v>
      </c>
      <c r="I7" s="8" t="n">
        <v>32.2</v>
      </c>
      <c r="J7" s="8" t="n">
        <v>24.1</v>
      </c>
      <c r="K7" s="8" t="n">
        <v>20.2</v>
      </c>
      <c r="L7" s="8" t="n">
        <v>14.6</v>
      </c>
      <c r="M7" s="8" t="n">
        <v>9.9</v>
      </c>
      <c r="N7" s="9">
        <f>AVERAGE(B7:M7)</f>
        <v/>
      </c>
    </row>
    <row r="8">
      <c r="A8" s="7" t="inlineStr">
        <is>
          <t>Srednja minimalna</t>
        </is>
      </c>
      <c r="B8" s="8" t="n">
        <v>0.2</v>
      </c>
      <c r="C8" s="8" t="n">
        <v>-0.4</v>
      </c>
      <c r="D8" s="8" t="n">
        <v>3.8</v>
      </c>
      <c r="E8" s="8" t="n">
        <v>6.2</v>
      </c>
      <c r="F8" s="8" t="n">
        <v>9.6</v>
      </c>
      <c r="G8" s="8" t="n">
        <v>14.6</v>
      </c>
      <c r="H8" s="8" t="n">
        <v>16.7</v>
      </c>
      <c r="I8" s="8" t="n">
        <v>17.2</v>
      </c>
      <c r="J8" s="8" t="n">
        <v>11.8</v>
      </c>
      <c r="K8" s="8" t="n">
        <v>8.6</v>
      </c>
      <c r="L8" s="8" t="n">
        <v>4.9</v>
      </c>
      <c r="M8" s="8" t="n">
        <v>1.9</v>
      </c>
      <c r="N8" s="9">
        <f>AVERAGE(B8:M8)</f>
        <v/>
      </c>
    </row>
    <row r="9">
      <c r="A9" s="7" t="inlineStr">
        <is>
          <t>Apsolutni maksimum</t>
        </is>
      </c>
      <c r="B9" s="8" t="n">
        <v>15.6</v>
      </c>
      <c r="C9" s="8" t="n">
        <v>18.5</v>
      </c>
      <c r="D9" s="8" t="n">
        <v>18.9</v>
      </c>
      <c r="E9" s="8" t="n">
        <v>22.3</v>
      </c>
      <c r="F9" s="8" t="n">
        <v>30.7</v>
      </c>
      <c r="G9" s="8" t="n">
        <v>35.3</v>
      </c>
      <c r="H9" s="8" t="n">
        <v>33.7</v>
      </c>
      <c r="I9" s="8" t="n">
        <v>37</v>
      </c>
      <c r="J9" s="8" t="n">
        <v>34.9</v>
      </c>
      <c r="K9" s="8" t="n">
        <v>24.3</v>
      </c>
      <c r="L9" s="8" t="n">
        <v>22.9</v>
      </c>
      <c r="M9" s="8" t="n">
        <v>14.7</v>
      </c>
      <c r="N9" s="9">
        <f>MAX(B9:M9)</f>
        <v/>
      </c>
    </row>
    <row r="10">
      <c r="A10" s="7" t="inlineStr">
        <is>
          <t>Apsolutni minimum</t>
        </is>
      </c>
      <c r="B10" s="8" t="n">
        <v>-5.9</v>
      </c>
      <c r="C10" s="8" t="n">
        <v>-5.4</v>
      </c>
      <c r="D10" s="8" t="n">
        <v>-3.2</v>
      </c>
      <c r="E10" s="8" t="n">
        <v>1.8</v>
      </c>
      <c r="F10" s="8" t="n">
        <v>4.1</v>
      </c>
      <c r="G10" s="8" t="n">
        <v>10.8</v>
      </c>
      <c r="H10" s="8" t="n">
        <v>13.1</v>
      </c>
      <c r="I10" s="8" t="n">
        <v>13</v>
      </c>
      <c r="J10" s="8" t="n">
        <v>5.7</v>
      </c>
      <c r="K10" s="8" t="n">
        <v>4.2</v>
      </c>
      <c r="L10" s="8" t="n">
        <v>-4.4</v>
      </c>
      <c r="M10" s="8" t="n">
        <v>-4.9</v>
      </c>
      <c r="N10" s="9">
        <f>MIN(B10:M10)</f>
        <v/>
      </c>
    </row>
    <row r="11">
      <c r="A11" s="7" t="inlineStr">
        <is>
          <t>Sr. br. mraznih dana</t>
        </is>
      </c>
      <c r="B11" s="10" t="n">
        <v>15</v>
      </c>
      <c r="C11" s="10" t="n">
        <v>14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8</v>
      </c>
      <c r="M11" s="10" t="n">
        <v>14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2</v>
      </c>
      <c r="G12" s="10" t="n">
        <v>10</v>
      </c>
      <c r="H12" s="10" t="n">
        <v>21</v>
      </c>
      <c r="I12" s="10" t="n">
        <v>23</v>
      </c>
      <c r="J12" s="10" t="n">
        <v>7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78.2</v>
      </c>
      <c r="C14" s="8" t="n">
        <v>73.3</v>
      </c>
      <c r="D14" s="8" t="n">
        <v>79.7</v>
      </c>
      <c r="E14" s="8" t="n">
        <v>76.5</v>
      </c>
      <c r="F14" s="8" t="n">
        <v>70</v>
      </c>
      <c r="G14" s="8" t="n">
        <v>72.59999999999999</v>
      </c>
      <c r="H14" s="8" t="n">
        <v>59.6</v>
      </c>
      <c r="I14" s="8" t="n">
        <v>50.8</v>
      </c>
      <c r="J14" s="8" t="n">
        <v>62.3</v>
      </c>
      <c r="K14" s="8" t="n">
        <v>80</v>
      </c>
      <c r="L14" s="8" t="n">
        <v>79.2</v>
      </c>
      <c r="M14" s="8" t="n">
        <v>76.90000000000001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186.2</v>
      </c>
      <c r="C16" s="8" t="n">
        <v>255.4</v>
      </c>
      <c r="D16" s="8" t="n">
        <v>261.9</v>
      </c>
      <c r="E16" s="8" t="n">
        <v>310.5</v>
      </c>
      <c r="F16" s="8" t="n">
        <v>408.9</v>
      </c>
      <c r="G16" s="8" t="n">
        <v>389.1</v>
      </c>
      <c r="H16" s="8" t="n">
        <v>424.7</v>
      </c>
      <c r="I16" s="8" t="n">
        <v>413.8</v>
      </c>
      <c r="J16" s="8" t="n">
        <v>315.4</v>
      </c>
      <c r="K16" s="8" t="n">
        <v>293.8</v>
      </c>
      <c r="L16" s="8" t="n">
        <v>208.1</v>
      </c>
      <c r="M16" s="8" t="n">
        <v>180.4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14</v>
      </c>
      <c r="D17" s="10" t="n">
        <v>5</v>
      </c>
      <c r="E17" s="10" t="n">
        <v>5</v>
      </c>
      <c r="F17" s="10" t="n">
        <v>9</v>
      </c>
      <c r="G17" s="10" t="n">
        <v>12</v>
      </c>
      <c r="H17" s="10" t="n">
        <v>17</v>
      </c>
      <c r="I17" s="10" t="n">
        <v>22</v>
      </c>
      <c r="J17" s="10" t="n">
        <v>10</v>
      </c>
      <c r="K17" s="10" t="n">
        <v>10</v>
      </c>
      <c r="L17" s="10" t="n">
        <v>5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5</v>
      </c>
      <c r="D18" s="10" t="n">
        <v>13</v>
      </c>
      <c r="E18" s="10" t="n">
        <v>9</v>
      </c>
      <c r="F18" s="10" t="n">
        <v>3</v>
      </c>
      <c r="G18" s="10" t="n">
        <v>5</v>
      </c>
      <c r="H18" s="10" t="n">
        <v>0</v>
      </c>
      <c r="I18" s="10" t="n">
        <v>0</v>
      </c>
      <c r="J18" s="10" t="n">
        <v>5</v>
      </c>
      <c r="K18" s="10" t="n">
        <v>4</v>
      </c>
      <c r="L18" s="10" t="n">
        <v>9</v>
      </c>
      <c r="M18" s="10" t="n">
        <v>14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131.4</v>
      </c>
      <c r="C20" s="8" t="n">
        <v>72.3</v>
      </c>
      <c r="D20" s="8" t="n">
        <v>205</v>
      </c>
      <c r="E20" s="8" t="n">
        <v>147.9</v>
      </c>
      <c r="F20" s="8" t="n">
        <v>62.4</v>
      </c>
      <c r="G20" s="8" t="n">
        <v>127.6</v>
      </c>
      <c r="H20" s="8" t="n">
        <v>31.1</v>
      </c>
      <c r="I20" s="8" t="n">
        <v>6.7</v>
      </c>
      <c r="J20" s="8" t="n">
        <v>62.4</v>
      </c>
      <c r="K20" s="8" t="n">
        <v>228.7</v>
      </c>
      <c r="L20" s="8" t="n">
        <v>231.2</v>
      </c>
      <c r="M20" s="8" t="n">
        <v>289.7</v>
      </c>
      <c r="N20" s="9">
        <f>SUM(B20:M20)</f>
        <v/>
      </c>
    </row>
    <row r="21">
      <c r="A21" s="7" t="inlineStr">
        <is>
          <t>Max. dnevna suma</t>
        </is>
      </c>
      <c r="B21" s="8" t="n">
        <v>39.6</v>
      </c>
      <c r="C21" s="8" t="n">
        <v>32.4</v>
      </c>
      <c r="D21" s="8" t="n">
        <v>43.8</v>
      </c>
      <c r="E21" s="8" t="n">
        <v>26.6</v>
      </c>
      <c r="F21" s="8" t="n">
        <v>24.6</v>
      </c>
      <c r="G21" s="8" t="n">
        <v>26.7</v>
      </c>
      <c r="H21" s="8" t="n">
        <v>8.300000000000001</v>
      </c>
      <c r="I21" s="8" t="n">
        <v>2.4</v>
      </c>
      <c r="J21" s="8" t="n">
        <v>16.2</v>
      </c>
      <c r="K21" s="8" t="n">
        <v>86.5</v>
      </c>
      <c r="L21" s="8" t="n">
        <v>52</v>
      </c>
      <c r="M21" s="8" t="n">
        <v>81.2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14</v>
      </c>
      <c r="C22" s="10" t="n">
        <v>8</v>
      </c>
      <c r="D22" s="10" t="n">
        <v>22</v>
      </c>
      <c r="E22" s="10" t="n">
        <v>23</v>
      </c>
      <c r="F22" s="10" t="n">
        <v>15</v>
      </c>
      <c r="G22" s="10" t="n">
        <v>17</v>
      </c>
      <c r="H22" s="10" t="n">
        <v>16</v>
      </c>
      <c r="I22" s="10" t="n">
        <v>6</v>
      </c>
      <c r="J22" s="10" t="n">
        <v>10</v>
      </c>
      <c r="K22" s="10" t="n">
        <v>10</v>
      </c>
      <c r="L22" s="10" t="n">
        <v>17</v>
      </c>
      <c r="M22" s="10" t="n">
        <v>18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5</v>
      </c>
      <c r="C23" s="10" t="n">
        <v>2</v>
      </c>
      <c r="D23" s="10" t="n">
        <v>7</v>
      </c>
      <c r="E23" s="10" t="n">
        <v>7</v>
      </c>
      <c r="F23" s="10" t="n">
        <v>2</v>
      </c>
      <c r="G23" s="10" t="n">
        <v>4</v>
      </c>
      <c r="H23" s="10" t="n">
        <v>0</v>
      </c>
      <c r="I23" s="10" t="n">
        <v>0</v>
      </c>
      <c r="J23" s="10" t="n">
        <v>4</v>
      </c>
      <c r="K23" s="10" t="n">
        <v>4</v>
      </c>
      <c r="L23" s="10" t="n">
        <v>9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0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0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2009.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4.1</v>
      </c>
      <c r="C6" s="8" t="n">
        <v>3.5</v>
      </c>
      <c r="D6" s="8" t="n">
        <v>7.2</v>
      </c>
      <c r="E6" s="8" t="n">
        <v>13.4</v>
      </c>
      <c r="F6" s="8" t="n">
        <v>18.6</v>
      </c>
      <c r="G6" s="8" t="n">
        <v>20.2</v>
      </c>
      <c r="H6" s="8" t="n">
        <v>24</v>
      </c>
      <c r="I6" s="8" t="n">
        <v>25</v>
      </c>
      <c r="J6" s="8" t="n">
        <v>20.3</v>
      </c>
      <c r="K6" s="8" t="n">
        <v>12.5</v>
      </c>
      <c r="L6" s="8" t="n">
        <v>9.199999999999999</v>
      </c>
      <c r="M6" s="8" t="n">
        <v>5.8</v>
      </c>
      <c r="N6" s="9">
        <f>AVERAGE(B6:M6)</f>
        <v/>
      </c>
    </row>
    <row r="7">
      <c r="A7" s="7" t="inlineStr">
        <is>
          <t>Srednja maksimalna</t>
        </is>
      </c>
      <c r="B7" s="8" t="n">
        <v>8.9</v>
      </c>
      <c r="C7" s="8" t="n">
        <v>7.8</v>
      </c>
      <c r="D7" s="8" t="n">
        <v>12</v>
      </c>
      <c r="E7" s="8" t="n">
        <v>19</v>
      </c>
      <c r="F7" s="8" t="n">
        <v>25.1</v>
      </c>
      <c r="G7" s="8" t="n">
        <v>25.2</v>
      </c>
      <c r="H7" s="8" t="n">
        <v>30.2</v>
      </c>
      <c r="I7" s="8" t="n">
        <v>31.5</v>
      </c>
      <c r="J7" s="8" t="n">
        <v>26.1</v>
      </c>
      <c r="K7" s="8" t="n">
        <v>17.5</v>
      </c>
      <c r="L7" s="8" t="n">
        <v>14.7</v>
      </c>
      <c r="M7" s="8" t="n">
        <v>9.4</v>
      </c>
      <c r="N7" s="9">
        <f>AVERAGE(B7:M7)</f>
        <v/>
      </c>
    </row>
    <row r="8">
      <c r="A8" s="7" t="inlineStr">
        <is>
          <t>Srednja minimalna</t>
        </is>
      </c>
      <c r="B8" s="8" t="n">
        <v>0.3</v>
      </c>
      <c r="C8" s="8" t="n">
        <v>-0.7</v>
      </c>
      <c r="D8" s="8" t="n">
        <v>2</v>
      </c>
      <c r="E8" s="8" t="n">
        <v>7.1</v>
      </c>
      <c r="F8" s="8" t="n">
        <v>10.6</v>
      </c>
      <c r="G8" s="8" t="n">
        <v>13.8</v>
      </c>
      <c r="H8" s="8" t="n">
        <v>16.2</v>
      </c>
      <c r="I8" s="8" t="n">
        <v>17.3</v>
      </c>
      <c r="J8" s="8" t="n">
        <v>14.3</v>
      </c>
      <c r="K8" s="8" t="n">
        <v>7.8</v>
      </c>
      <c r="L8" s="8" t="n">
        <v>4.5</v>
      </c>
      <c r="M8" s="8" t="n">
        <v>1.8</v>
      </c>
      <c r="N8" s="9">
        <f>AVERAGE(B8:M8)</f>
        <v/>
      </c>
    </row>
    <row r="9">
      <c r="A9" s="7" t="inlineStr">
        <is>
          <t>Apsolutni maksimum</t>
        </is>
      </c>
      <c r="B9" s="8" t="n">
        <v>14.4</v>
      </c>
      <c r="C9" s="8" t="n">
        <v>13.8</v>
      </c>
      <c r="D9" s="8" t="n">
        <v>17.8</v>
      </c>
      <c r="E9" s="8" t="n">
        <v>23.5</v>
      </c>
      <c r="F9" s="8" t="n">
        <v>32.2</v>
      </c>
      <c r="G9" s="8" t="n">
        <v>31.6</v>
      </c>
      <c r="H9" s="8" t="n">
        <v>35.2</v>
      </c>
      <c r="I9" s="8" t="n">
        <v>34.5</v>
      </c>
      <c r="J9" s="8" t="n">
        <v>30.4</v>
      </c>
      <c r="K9" s="8" t="n">
        <v>24.7</v>
      </c>
      <c r="L9" s="8" t="n">
        <v>18.8</v>
      </c>
      <c r="M9" s="8" t="n">
        <v>15</v>
      </c>
      <c r="N9" s="9">
        <f>MAX(B9:M9)</f>
        <v/>
      </c>
    </row>
    <row r="10">
      <c r="A10" s="7" t="inlineStr">
        <is>
          <t>Apsolutni minimum</t>
        </is>
      </c>
      <c r="B10" s="8" t="n">
        <v>-6.6</v>
      </c>
      <c r="C10" s="8" t="n">
        <v>-11.7</v>
      </c>
      <c r="D10" s="8" t="n">
        <v>-2.5</v>
      </c>
      <c r="E10" s="8" t="n">
        <v>4</v>
      </c>
      <c r="F10" s="8" t="n">
        <v>4.4</v>
      </c>
      <c r="G10" s="8" t="n">
        <v>9.9</v>
      </c>
      <c r="H10" s="8" t="n">
        <v>11.2</v>
      </c>
      <c r="I10" s="8" t="n">
        <v>15</v>
      </c>
      <c r="J10" s="8" t="n">
        <v>11.2</v>
      </c>
      <c r="K10" s="8" t="n">
        <v>-0.9</v>
      </c>
      <c r="L10" s="8" t="n">
        <v>-1.6</v>
      </c>
      <c r="M10" s="8" t="n">
        <v>-13.7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19</v>
      </c>
      <c r="D11" s="10" t="n">
        <v>10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2</v>
      </c>
      <c r="M11" s="10" t="n">
        <v>14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7</v>
      </c>
      <c r="G12" s="10" t="n">
        <v>3</v>
      </c>
      <c r="H12" s="10" t="n">
        <v>14</v>
      </c>
      <c r="I12" s="10" t="n">
        <v>24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78.90000000000001</v>
      </c>
      <c r="C14" s="8" t="n">
        <v>70.59999999999999</v>
      </c>
      <c r="D14" s="8" t="n">
        <v>71.3</v>
      </c>
      <c r="E14" s="8" t="n">
        <v>74.7</v>
      </c>
      <c r="F14" s="8" t="n">
        <v>65.7</v>
      </c>
      <c r="G14" s="8" t="n">
        <v>69.40000000000001</v>
      </c>
      <c r="H14" s="8" t="n">
        <v>61.8</v>
      </c>
      <c r="I14" s="8" t="n">
        <v>57.4</v>
      </c>
      <c r="J14" s="8" t="n">
        <v>66.3</v>
      </c>
      <c r="K14" s="8" t="n">
        <v>77.8</v>
      </c>
      <c r="L14" s="8" t="n">
        <v>85.59999999999999</v>
      </c>
      <c r="M14" s="8" t="n">
        <v>84.59999999999999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178.8</v>
      </c>
      <c r="C16" s="8" t="n">
        <v>203.5</v>
      </c>
      <c r="D16" s="8" t="n">
        <v>257.1</v>
      </c>
      <c r="E16" s="8" t="n">
        <v>325.3</v>
      </c>
      <c r="F16" s="8" t="n">
        <v>411.3</v>
      </c>
      <c r="G16" s="8" t="n">
        <v>382.5</v>
      </c>
      <c r="H16" s="8" t="n">
        <v>426.8</v>
      </c>
      <c r="I16" s="8" t="n">
        <v>410.9</v>
      </c>
      <c r="J16" s="8" t="n">
        <v>330.1</v>
      </c>
      <c r="K16" s="8" t="n">
        <v>248.1</v>
      </c>
      <c r="L16" s="8" t="n">
        <v>216</v>
      </c>
      <c r="M16" s="8" t="n">
        <v>137.2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4</v>
      </c>
      <c r="D17" s="10" t="n">
        <v>0</v>
      </c>
      <c r="E17" s="10" t="n">
        <v>3</v>
      </c>
      <c r="F17" s="10" t="n">
        <v>3</v>
      </c>
      <c r="G17" s="10" t="n">
        <v>9</v>
      </c>
      <c r="H17" s="10" t="n">
        <v>20</v>
      </c>
      <c r="I17" s="10" t="n">
        <v>20</v>
      </c>
      <c r="J17" s="10" t="n">
        <v>10</v>
      </c>
      <c r="K17" s="10" t="n">
        <v>10</v>
      </c>
      <c r="L17" s="10" t="n">
        <v>6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15</v>
      </c>
      <c r="C18" s="10" t="n">
        <v>11</v>
      </c>
      <c r="D18" s="10" t="n">
        <v>13</v>
      </c>
      <c r="E18" s="10" t="n">
        <v>10</v>
      </c>
      <c r="F18" s="10" t="n">
        <v>3</v>
      </c>
      <c r="G18" s="10" t="n">
        <v>5</v>
      </c>
      <c r="H18" s="10" t="n">
        <v>0</v>
      </c>
      <c r="I18" s="10" t="n">
        <v>0</v>
      </c>
      <c r="J18" s="10" t="n">
        <v>4</v>
      </c>
      <c r="K18" s="10" t="n">
        <v>8</v>
      </c>
      <c r="L18" s="10" t="n">
        <v>10</v>
      </c>
      <c r="M18" s="10" t="n">
        <v>15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232.7</v>
      </c>
      <c r="C20" s="8" t="n">
        <v>157.9</v>
      </c>
      <c r="D20" s="8" t="n">
        <v>163.3</v>
      </c>
      <c r="E20" s="8" t="n">
        <v>100.5</v>
      </c>
      <c r="F20" s="8" t="n">
        <v>42.9</v>
      </c>
      <c r="G20" s="8" t="n">
        <v>240.2</v>
      </c>
      <c r="H20" s="8" t="n">
        <v>22.8</v>
      </c>
      <c r="I20" s="8" t="n">
        <v>23.6</v>
      </c>
      <c r="J20" s="8" t="n">
        <v>44.3</v>
      </c>
      <c r="K20" s="8" t="n">
        <v>347.1</v>
      </c>
      <c r="L20" s="8" t="n">
        <v>158.7</v>
      </c>
      <c r="M20" s="8" t="n">
        <v>266.6</v>
      </c>
      <c r="N20" s="9">
        <f>SUM(B20:M20)</f>
        <v/>
      </c>
    </row>
    <row r="21">
      <c r="A21" s="7" t="inlineStr">
        <is>
          <t>Max. dnevna suma</t>
        </is>
      </c>
      <c r="B21" s="8" t="n">
        <v>44.9</v>
      </c>
      <c r="C21" s="8" t="n">
        <v>34.6</v>
      </c>
      <c r="D21" s="8" t="n">
        <v>43.7</v>
      </c>
      <c r="E21" s="8" t="n">
        <v>20.7</v>
      </c>
      <c r="F21" s="8" t="n">
        <v>27.8</v>
      </c>
      <c r="G21" s="8" t="n">
        <v>98.8</v>
      </c>
      <c r="H21" s="8" t="n">
        <v>5.5</v>
      </c>
      <c r="I21" s="8" t="n">
        <v>12.6</v>
      </c>
      <c r="J21" s="8" t="n">
        <v>14.2</v>
      </c>
      <c r="K21" s="8" t="n">
        <v>80.7</v>
      </c>
      <c r="L21" s="8" t="n">
        <v>40.2</v>
      </c>
      <c r="M21" s="8" t="n">
        <v>39.6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14</v>
      </c>
      <c r="D22" s="10" t="n">
        <v>18</v>
      </c>
      <c r="E22" s="10" t="n">
        <v>21</v>
      </c>
      <c r="F22" s="10" t="n">
        <v>13</v>
      </c>
      <c r="G22" s="10" t="n">
        <v>16</v>
      </c>
      <c r="H22" s="10" t="n">
        <v>11</v>
      </c>
      <c r="I22" s="10" t="n">
        <v>9</v>
      </c>
      <c r="J22" s="10" t="n">
        <v>13</v>
      </c>
      <c r="K22" s="10" t="n">
        <v>15</v>
      </c>
      <c r="L22" s="10" t="n">
        <v>13</v>
      </c>
      <c r="M22" s="10" t="n">
        <v>23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5</v>
      </c>
      <c r="D23" s="10" t="n">
        <v>6</v>
      </c>
      <c r="E23" s="10" t="n">
        <v>2</v>
      </c>
      <c r="F23" s="10" t="n">
        <v>1</v>
      </c>
      <c r="G23" s="10" t="n">
        <v>5</v>
      </c>
      <c r="H23" s="10" t="n">
        <v>0</v>
      </c>
      <c r="I23" s="10" t="n">
        <v>1</v>
      </c>
      <c r="J23" s="10" t="n">
        <v>2</v>
      </c>
      <c r="K23" s="10" t="n">
        <v>7</v>
      </c>
      <c r="L23" s="10" t="n">
        <v>5</v>
      </c>
      <c r="M23" s="10" t="n">
        <v>9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4</v>
      </c>
      <c r="D25" s="10" t="n">
        <v>3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3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4</v>
      </c>
      <c r="D26" s="10" t="n">
        <v>3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3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2010.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3.6</v>
      </c>
      <c r="C6" s="8" t="n">
        <v>5.4</v>
      </c>
      <c r="D6" s="8" t="n">
        <v>7.5</v>
      </c>
      <c r="E6" s="8" t="n">
        <v>12.5</v>
      </c>
      <c r="F6" s="8" t="n">
        <v>15.7</v>
      </c>
      <c r="G6" s="8" t="n">
        <v>20.5</v>
      </c>
      <c r="H6" s="8" t="n">
        <v>24.8</v>
      </c>
      <c r="I6" s="8" t="n">
        <v>25.2</v>
      </c>
      <c r="J6" s="8" t="n">
        <v>18.4</v>
      </c>
      <c r="K6" s="8" t="n">
        <v>12.4</v>
      </c>
      <c r="L6" s="8" t="n">
        <v>10.9</v>
      </c>
      <c r="M6" s="8" t="n">
        <v>4.9</v>
      </c>
      <c r="N6" s="9">
        <f>AVERAGE(B6:M6)</f>
        <v/>
      </c>
    </row>
    <row r="7">
      <c r="A7" s="7" t="inlineStr">
        <is>
          <t>Srednja maksimalna</t>
        </is>
      </c>
      <c r="B7" s="8" t="n">
        <v>8.199999999999999</v>
      </c>
      <c r="C7" s="8" t="n">
        <v>9.6</v>
      </c>
      <c r="D7" s="8" t="n">
        <v>12.7</v>
      </c>
      <c r="E7" s="8" t="n">
        <v>18.1</v>
      </c>
      <c r="F7" s="8" t="n">
        <v>20.6</v>
      </c>
      <c r="G7" s="8" t="n">
        <v>25.8</v>
      </c>
      <c r="H7" s="8" t="n">
        <v>30.7</v>
      </c>
      <c r="I7" s="8" t="n">
        <v>31.6</v>
      </c>
      <c r="J7" s="8" t="n">
        <v>24.1</v>
      </c>
      <c r="K7" s="8" t="n">
        <v>17.3</v>
      </c>
      <c r="L7" s="8" t="n">
        <v>15.2</v>
      </c>
      <c r="M7" s="8" t="n">
        <v>8.699999999999999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-0.4</v>
      </c>
      <c r="C8" s="8" t="n">
        <v>0.9</v>
      </c>
      <c r="D8" s="8" t="n">
        <v>1.7</v>
      </c>
      <c r="E8" s="8" t="n">
        <v>6.2</v>
      </c>
      <c r="F8" s="8" t="n">
        <v>9.800000000000001</v>
      </c>
      <c r="G8" s="8" t="n">
        <v>13.6</v>
      </c>
      <c r="H8" s="8" t="n">
        <v>17.5</v>
      </c>
      <c r="I8" s="8" t="n">
        <v>17.1</v>
      </c>
      <c r="J8" s="8" t="n">
        <v>12.7</v>
      </c>
      <c r="K8" s="8" t="n">
        <v>7.5</v>
      </c>
      <c r="L8" s="8" t="n">
        <v>6.9</v>
      </c>
      <c r="M8" s="8" t="n">
        <v>1.2</v>
      </c>
      <c r="N8" s="9">
        <f>AVERAGE(B8:M8)</f>
        <v/>
      </c>
    </row>
    <row r="9">
      <c r="A9" s="7" t="inlineStr">
        <is>
          <t>Apsolutni maksimum</t>
        </is>
      </c>
      <c r="B9" s="8" t="n">
        <v>14.2</v>
      </c>
      <c r="C9" s="8" t="n">
        <v>14.2</v>
      </c>
      <c r="D9" s="8" t="n">
        <v>18.5</v>
      </c>
      <c r="E9" s="8" t="n">
        <v>22.9</v>
      </c>
      <c r="F9" s="8" t="n">
        <v>25.6</v>
      </c>
      <c r="G9" s="8" t="n">
        <v>32.1</v>
      </c>
      <c r="H9" s="8" t="n">
        <v>36.8</v>
      </c>
      <c r="I9" s="8" t="n">
        <v>35.1</v>
      </c>
      <c r="J9" s="8" t="n">
        <v>27.5</v>
      </c>
      <c r="K9" s="8" t="n">
        <v>21.9</v>
      </c>
      <c r="L9" s="8" t="n">
        <v>21.2</v>
      </c>
      <c r="M9" s="8" t="n">
        <v>15.7</v>
      </c>
      <c r="N9" s="9">
        <f>MAX(B9:M9)</f>
        <v/>
      </c>
    </row>
    <row r="10">
      <c r="A10" s="7" t="inlineStr">
        <is>
          <t>Apsolutni minimum</t>
        </is>
      </c>
      <c r="B10" s="8" t="n">
        <v>-9.1</v>
      </c>
      <c r="C10" s="8" t="n">
        <v>-7.1</v>
      </c>
      <c r="D10" s="8" t="n">
        <v>-5.1</v>
      </c>
      <c r="E10" s="8" t="n">
        <v>1.5</v>
      </c>
      <c r="F10" s="8" t="n">
        <v>5.9</v>
      </c>
      <c r="G10" s="8" t="n">
        <v>7.7</v>
      </c>
      <c r="H10" s="8" t="n">
        <v>13.3</v>
      </c>
      <c r="I10" s="8" t="n">
        <v>12.5</v>
      </c>
      <c r="J10" s="8" t="n">
        <v>6.3</v>
      </c>
      <c r="K10" s="8" t="n">
        <v>0.3</v>
      </c>
      <c r="L10" s="8" t="n">
        <v>2.5</v>
      </c>
      <c r="M10" s="8" t="n">
        <v>-7.5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9</v>
      </c>
      <c r="D11" s="10" t="n">
        <v>13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16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20</v>
      </c>
      <c r="I12" s="10" t="n">
        <v>25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77.7</v>
      </c>
      <c r="C14" s="8" t="n">
        <v>81.09999999999999</v>
      </c>
      <c r="D14" s="8" t="n">
        <v>74.2</v>
      </c>
      <c r="E14" s="8" t="n">
        <v>72.7</v>
      </c>
      <c r="F14" s="8" t="n">
        <v>73.40000000000001</v>
      </c>
      <c r="G14" s="8" t="n">
        <v>69.40000000000001</v>
      </c>
      <c r="H14" s="8" t="n">
        <v>58</v>
      </c>
      <c r="I14" s="8" t="n">
        <v>52.3</v>
      </c>
      <c r="J14" s="8" t="n">
        <v>69.5</v>
      </c>
      <c r="K14" s="8" t="n">
        <v>76.8</v>
      </c>
      <c r="L14" s="8" t="n">
        <v>87.2</v>
      </c>
      <c r="M14" s="8" t="n">
        <v>77.2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178.6</v>
      </c>
      <c r="C16" s="8" t="n">
        <v>145.1</v>
      </c>
      <c r="D16" s="8" t="n">
        <v>267.6</v>
      </c>
      <c r="E16" s="8" t="n">
        <v>302.3</v>
      </c>
      <c r="F16" s="8" t="n">
        <v>360.1</v>
      </c>
      <c r="G16" s="8" t="n">
        <v>395.8</v>
      </c>
      <c r="H16" s="8" t="n">
        <v>431.8</v>
      </c>
      <c r="I16" s="8" t="n">
        <v>414.8</v>
      </c>
      <c r="J16" s="8" t="n">
        <v>317.3</v>
      </c>
      <c r="K16" s="8" t="n">
        <v>239.1</v>
      </c>
      <c r="L16" s="8" t="n">
        <v>163.7</v>
      </c>
      <c r="M16" s="8" t="n">
        <v>181.3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1</v>
      </c>
      <c r="D17" s="10" t="n">
        <v>2</v>
      </c>
      <c r="E17" s="10" t="n">
        <v>5</v>
      </c>
      <c r="F17" s="10" t="n">
        <v>2</v>
      </c>
      <c r="G17" s="10" t="n">
        <v>9</v>
      </c>
      <c r="H17" s="10" t="n">
        <v>15</v>
      </c>
      <c r="I17" s="10" t="n">
        <v>23</v>
      </c>
      <c r="J17" s="10" t="n">
        <v>8</v>
      </c>
      <c r="K17" s="10" t="n">
        <v>9</v>
      </c>
      <c r="L17" s="10" t="n">
        <v>5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16</v>
      </c>
      <c r="D18" s="10" t="n">
        <v>9</v>
      </c>
      <c r="E18" s="10" t="n">
        <v>8</v>
      </c>
      <c r="F18" s="10" t="n">
        <v>10</v>
      </c>
      <c r="G18" s="10" t="n">
        <v>4</v>
      </c>
      <c r="H18" s="10" t="n">
        <v>0</v>
      </c>
      <c r="I18" s="10" t="n">
        <v>0</v>
      </c>
      <c r="J18" s="10" t="n">
        <v>4</v>
      </c>
      <c r="K18" s="10" t="n">
        <v>10</v>
      </c>
      <c r="L18" s="10" t="n">
        <v>14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280.8</v>
      </c>
      <c r="C20" s="8" t="n">
        <v>271.7</v>
      </c>
      <c r="D20" s="8" t="n">
        <v>202.6</v>
      </c>
      <c r="E20" s="8" t="n">
        <v>166.5</v>
      </c>
      <c r="F20" s="8" t="n">
        <v>180.4</v>
      </c>
      <c r="G20" s="8" t="n">
        <v>94.40000000000001</v>
      </c>
      <c r="H20" s="8" t="n">
        <v>17.8</v>
      </c>
      <c r="I20" s="8" t="n">
        <v>24.4</v>
      </c>
      <c r="J20" s="8" t="n">
        <v>179.8</v>
      </c>
      <c r="K20" s="8" t="n">
        <v>172</v>
      </c>
      <c r="L20" s="8" t="n">
        <v>361.4</v>
      </c>
      <c r="M20" s="8" t="n">
        <v>235.5</v>
      </c>
      <c r="N20" s="9">
        <f>SUM(B20:M20)</f>
        <v/>
      </c>
    </row>
    <row r="21">
      <c r="A21" s="7" t="inlineStr">
        <is>
          <t>Max. dnevna suma</t>
        </is>
      </c>
      <c r="B21" s="8" t="n">
        <v>61</v>
      </c>
      <c r="C21" s="8" t="n">
        <v>42.9</v>
      </c>
      <c r="D21" s="8" t="n">
        <v>58.2</v>
      </c>
      <c r="E21" s="8" t="n">
        <v>46.5</v>
      </c>
      <c r="F21" s="8" t="n">
        <v>59.5</v>
      </c>
      <c r="G21" s="8" t="n">
        <v>41.9</v>
      </c>
      <c r="H21" s="8" t="n">
        <v>5.7</v>
      </c>
      <c r="I21" s="8" t="n">
        <v>12.4</v>
      </c>
      <c r="J21" s="8" t="n">
        <v>63.2</v>
      </c>
      <c r="K21" s="8" t="n">
        <v>37.3</v>
      </c>
      <c r="L21" s="8" t="n">
        <v>59.8</v>
      </c>
      <c r="M21" s="8" t="n">
        <v>41.2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20</v>
      </c>
      <c r="D22" s="10" t="n">
        <v>19</v>
      </c>
      <c r="E22" s="10" t="n">
        <v>20</v>
      </c>
      <c r="F22" s="10" t="n">
        <v>17</v>
      </c>
      <c r="G22" s="10" t="n">
        <v>14</v>
      </c>
      <c r="H22" s="10" t="n">
        <v>15</v>
      </c>
      <c r="I22" s="10" t="n">
        <v>9</v>
      </c>
      <c r="J22" s="10" t="n">
        <v>13</v>
      </c>
      <c r="K22" s="10" t="n">
        <v>16</v>
      </c>
      <c r="L22" s="10" t="n">
        <v>23</v>
      </c>
      <c r="M22" s="10" t="n">
        <v>21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10</v>
      </c>
      <c r="C23" s="10" t="n">
        <v>13</v>
      </c>
      <c r="D23" s="10" t="n">
        <v>6</v>
      </c>
      <c r="E23" s="10" t="n">
        <v>6</v>
      </c>
      <c r="F23" s="10" t="n">
        <v>5</v>
      </c>
      <c r="G23" s="10" t="n">
        <v>4</v>
      </c>
      <c r="H23" s="10" t="n">
        <v>0</v>
      </c>
      <c r="I23" s="10" t="n">
        <v>1</v>
      </c>
      <c r="J23" s="10" t="n">
        <v>6</v>
      </c>
      <c r="K23" s="10" t="n">
        <v>6</v>
      </c>
      <c r="L23" s="10" t="n">
        <v>13</v>
      </c>
      <c r="M23" s="10" t="n">
        <v>9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5</v>
      </c>
      <c r="C25" s="10" t="n">
        <v>2</v>
      </c>
      <c r="D25" s="10" t="n">
        <v>4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6</v>
      </c>
      <c r="N25" s="11">
        <f>SUM(B25:M25)</f>
        <v/>
      </c>
    </row>
    <row r="26">
      <c r="A26" s="7" t="inlineStr">
        <is>
          <t>snežnim pokrivačem</t>
        </is>
      </c>
      <c r="B26" s="10" t="n">
        <v>5</v>
      </c>
      <c r="C26" s="10" t="n">
        <v>2</v>
      </c>
      <c r="D26" s="10" t="n">
        <v>4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6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2011.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3.2</v>
      </c>
      <c r="C6" s="8" t="n">
        <v>4</v>
      </c>
      <c r="D6" s="8" t="n">
        <v>7.7</v>
      </c>
      <c r="E6" s="8" t="n">
        <v>13</v>
      </c>
      <c r="F6" s="8" t="n">
        <v>16.9</v>
      </c>
      <c r="G6" s="8" t="n">
        <v>22.2</v>
      </c>
      <c r="H6" s="8" t="n">
        <v>23.4</v>
      </c>
      <c r="I6" s="8" t="n">
        <v>25.4</v>
      </c>
      <c r="J6" s="8" t="n">
        <v>22.6</v>
      </c>
      <c r="K6" s="8" t="n">
        <v>13.3</v>
      </c>
      <c r="L6" s="8" t="n">
        <v>7.7</v>
      </c>
      <c r="M6" s="8" t="n">
        <v>5.4</v>
      </c>
      <c r="N6" s="9">
        <f>AVERAGE(B6:M6)</f>
        <v/>
      </c>
    </row>
    <row r="7">
      <c r="A7" s="7" t="inlineStr">
        <is>
          <t>Srednja maksimalna</t>
        </is>
      </c>
      <c r="B7" s="8" t="n">
        <v>8.800000000000001</v>
      </c>
      <c r="C7" s="8" t="n">
        <v>10.5</v>
      </c>
      <c r="D7" s="8" t="n">
        <v>13.3</v>
      </c>
      <c r="E7" s="8" t="n">
        <v>19.3</v>
      </c>
      <c r="F7" s="8" t="n">
        <v>22.7</v>
      </c>
      <c r="G7" s="8" t="n">
        <v>27.8</v>
      </c>
      <c r="H7" s="8" t="n">
        <v>28.9</v>
      </c>
      <c r="I7" s="8" t="n">
        <v>32</v>
      </c>
      <c r="J7" s="8" t="n">
        <v>29.2</v>
      </c>
      <c r="K7" s="8" t="n">
        <v>18.9</v>
      </c>
      <c r="L7" s="8" t="n">
        <v>14.5</v>
      </c>
      <c r="M7" s="8" t="n">
        <v>10.1</v>
      </c>
      <c r="N7" s="9">
        <f>AVERAGE(B7:M7)</f>
        <v/>
      </c>
    </row>
    <row r="8">
      <c r="A8" s="7" t="inlineStr">
        <is>
          <t>Srednja minimalna</t>
        </is>
      </c>
      <c r="B8" s="8" t="n">
        <v>-1.4</v>
      </c>
      <c r="C8" s="8" t="n">
        <v>-1.3</v>
      </c>
      <c r="D8" s="8" t="n">
        <v>2.1</v>
      </c>
      <c r="E8" s="8" t="n">
        <v>5.2</v>
      </c>
      <c r="F8" s="8" t="n">
        <v>10</v>
      </c>
      <c r="G8" s="8" t="n">
        <v>14.7</v>
      </c>
      <c r="H8" s="8" t="n">
        <v>16.6</v>
      </c>
      <c r="I8" s="8" t="n">
        <v>17.2</v>
      </c>
      <c r="J8" s="8" t="n">
        <v>15.3</v>
      </c>
      <c r="K8" s="8" t="n">
        <v>7.8</v>
      </c>
      <c r="L8" s="8" t="n">
        <v>2.3</v>
      </c>
      <c r="M8" s="8" t="n">
        <v>1.3</v>
      </c>
      <c r="N8" s="9">
        <f>AVERAGE(B8:M8)</f>
        <v/>
      </c>
    </row>
    <row r="9">
      <c r="A9" s="7" t="inlineStr">
        <is>
          <t>Apsolutni maksimum</t>
        </is>
      </c>
      <c r="B9" s="8" t="n">
        <v>14.5</v>
      </c>
      <c r="C9" s="8" t="n">
        <v>18.3</v>
      </c>
      <c r="D9" s="8" t="n">
        <v>20</v>
      </c>
      <c r="E9" s="8" t="n">
        <v>24.1</v>
      </c>
      <c r="F9" s="8" t="n">
        <v>27.6</v>
      </c>
      <c r="G9" s="8" t="n">
        <v>33.5</v>
      </c>
      <c r="H9" s="8" t="n">
        <v>35.9</v>
      </c>
      <c r="I9" s="8" t="n">
        <v>37</v>
      </c>
      <c r="J9" s="8" t="n">
        <v>33.7</v>
      </c>
      <c r="K9" s="8" t="n">
        <v>27.3</v>
      </c>
      <c r="L9" s="8" t="n">
        <v>18</v>
      </c>
      <c r="M9" s="8" t="n">
        <v>14.6</v>
      </c>
      <c r="N9" s="9">
        <f>MAX(B9:M9)</f>
        <v/>
      </c>
    </row>
    <row r="10">
      <c r="A10" s="7" t="inlineStr">
        <is>
          <t>Apsolutni minimum</t>
        </is>
      </c>
      <c r="B10" s="8" t="n">
        <v>-11.8</v>
      </c>
      <c r="C10" s="8" t="n">
        <v>-5.4</v>
      </c>
      <c r="D10" s="8" t="n">
        <v>-3.8</v>
      </c>
      <c r="E10" s="8" t="n">
        <v>-1</v>
      </c>
      <c r="F10" s="8" t="n">
        <v>2.7</v>
      </c>
      <c r="G10" s="8" t="n">
        <v>12</v>
      </c>
      <c r="H10" s="8" t="n">
        <v>12.4</v>
      </c>
      <c r="I10" s="8" t="n">
        <v>12.5</v>
      </c>
      <c r="J10" s="8" t="n">
        <v>10.5</v>
      </c>
      <c r="K10" s="8" t="n">
        <v>-0.8</v>
      </c>
      <c r="L10" s="8" t="n">
        <v>-3.1</v>
      </c>
      <c r="M10" s="8" t="n">
        <v>-5.2</v>
      </c>
      <c r="N10" s="9">
        <f>MIN(B10:M10)</f>
        <v/>
      </c>
    </row>
    <row r="11">
      <c r="A11" s="7" t="inlineStr">
        <is>
          <t>Sr. br. mraznih dana</t>
        </is>
      </c>
      <c r="B11" s="10" t="n">
        <v>22</v>
      </c>
      <c r="C11" s="10" t="n">
        <v>20</v>
      </c>
      <c r="D11" s="10" t="n">
        <v>8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11</v>
      </c>
      <c r="M11" s="10" t="n">
        <v>16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4</v>
      </c>
      <c r="H12" s="10" t="n">
        <v>13</v>
      </c>
      <c r="I12" s="10" t="n">
        <v>23</v>
      </c>
      <c r="J12" s="10" t="n">
        <v>15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78.90000000000001</v>
      </c>
      <c r="C14" s="8" t="n">
        <v>72.7</v>
      </c>
      <c r="D14" s="8" t="n">
        <v>70.90000000000001</v>
      </c>
      <c r="E14" s="8" t="n">
        <v>63.1</v>
      </c>
      <c r="F14" s="8" t="n">
        <v>69.3</v>
      </c>
      <c r="G14" s="8" t="n">
        <v>59.6</v>
      </c>
      <c r="H14" s="8" t="n">
        <v>63.1</v>
      </c>
      <c r="I14" s="8" t="n">
        <v>55.3</v>
      </c>
      <c r="J14" s="8" t="n">
        <v>60.1</v>
      </c>
      <c r="K14" s="8" t="n">
        <v>68.2</v>
      </c>
      <c r="L14" s="8" t="n">
        <v>75.90000000000001</v>
      </c>
      <c r="M14" s="8" t="n">
        <v>81.59999999999999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206</v>
      </c>
      <c r="C16" s="8" t="n">
        <v>225.6</v>
      </c>
      <c r="D16" s="8" t="n">
        <v>284.3</v>
      </c>
      <c r="E16" s="8" t="n">
        <v>347.1</v>
      </c>
      <c r="F16" s="8" t="n">
        <v>383.5</v>
      </c>
      <c r="G16" s="8" t="n">
        <v>418.7</v>
      </c>
      <c r="H16" s="8" t="n">
        <v>411.5</v>
      </c>
      <c r="I16" s="8" t="n">
        <v>414.2</v>
      </c>
      <c r="J16" s="8" t="n">
        <v>335.5</v>
      </c>
      <c r="K16" s="8" t="n">
        <v>294.8</v>
      </c>
      <c r="L16" s="8" t="n">
        <v>243.7</v>
      </c>
      <c r="M16" s="8" t="n">
        <v>189.7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9</v>
      </c>
      <c r="D17" s="10" t="n">
        <v>11</v>
      </c>
      <c r="E17" s="10" t="n">
        <v>10</v>
      </c>
      <c r="F17" s="10" t="n">
        <v>9</v>
      </c>
      <c r="G17" s="10" t="n">
        <v>13</v>
      </c>
      <c r="H17" s="10" t="n">
        <v>16</v>
      </c>
      <c r="I17" s="10" t="n">
        <v>28</v>
      </c>
      <c r="J17" s="10" t="n">
        <v>16</v>
      </c>
      <c r="K17" s="10" t="n">
        <v>13</v>
      </c>
      <c r="L17" s="10" t="n">
        <v>13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7</v>
      </c>
      <c r="D18" s="10" t="n">
        <v>9</v>
      </c>
      <c r="E18" s="10" t="n">
        <v>4</v>
      </c>
      <c r="F18" s="10" t="n">
        <v>5</v>
      </c>
      <c r="G18" s="10" t="n">
        <v>0</v>
      </c>
      <c r="H18" s="10" t="n">
        <v>1</v>
      </c>
      <c r="I18" s="10" t="n">
        <v>0</v>
      </c>
      <c r="J18" s="10" t="n">
        <v>2</v>
      </c>
      <c r="K18" s="10" t="n">
        <v>5</v>
      </c>
      <c r="L18" s="10" t="n">
        <v>5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72</v>
      </c>
      <c r="C20" s="8" t="n">
        <v>61.7</v>
      </c>
      <c r="D20" s="8" t="n">
        <v>112.5</v>
      </c>
      <c r="E20" s="8" t="n">
        <v>39.4</v>
      </c>
      <c r="F20" s="8" t="n">
        <v>119</v>
      </c>
      <c r="G20" s="8" t="n">
        <v>32.5</v>
      </c>
      <c r="H20" s="8" t="n">
        <v>120.6</v>
      </c>
      <c r="I20" s="8" t="n">
        <v>1.5</v>
      </c>
      <c r="J20" s="8" t="n">
        <v>57.7</v>
      </c>
      <c r="K20" s="8" t="n">
        <v>76.7</v>
      </c>
      <c r="L20" s="8" t="n">
        <v>89.90000000000001</v>
      </c>
      <c r="M20" s="8" t="n">
        <v>192.8</v>
      </c>
      <c r="N20" s="9">
        <f>SUM(B20:M20)</f>
        <v/>
      </c>
    </row>
    <row r="21">
      <c r="A21" s="7" t="inlineStr">
        <is>
          <t>Max. dnevna suma</t>
        </is>
      </c>
      <c r="B21" s="8" t="n">
        <v>28.7</v>
      </c>
      <c r="C21" s="8" t="n">
        <v>14</v>
      </c>
      <c r="D21" s="8" t="n">
        <v>32.2</v>
      </c>
      <c r="E21" s="8" t="n">
        <v>18.6</v>
      </c>
      <c r="F21" s="8" t="n">
        <v>33.8</v>
      </c>
      <c r="G21" s="8" t="n">
        <v>11.7</v>
      </c>
      <c r="H21" s="8" t="n">
        <v>39.7</v>
      </c>
      <c r="I21" s="8" t="n">
        <v>1.1</v>
      </c>
      <c r="J21" s="8" t="n">
        <v>37.1</v>
      </c>
      <c r="K21" s="8" t="n">
        <v>34.6</v>
      </c>
      <c r="L21" s="8" t="n">
        <v>30.7</v>
      </c>
      <c r="M21" s="8" t="n">
        <v>38.6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10</v>
      </c>
      <c r="D22" s="10" t="n">
        <v>15</v>
      </c>
      <c r="E22" s="10" t="n">
        <v>6</v>
      </c>
      <c r="F22" s="10" t="n">
        <v>22</v>
      </c>
      <c r="G22" s="10" t="n">
        <v>12</v>
      </c>
      <c r="H22" s="10" t="n">
        <v>15</v>
      </c>
      <c r="I22" s="10" t="n">
        <v>4</v>
      </c>
      <c r="J22" s="10" t="n">
        <v>5</v>
      </c>
      <c r="K22" s="10" t="n">
        <v>11</v>
      </c>
      <c r="L22" s="10" t="n">
        <v>7</v>
      </c>
      <c r="M22" s="10" t="n">
        <v>20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3</v>
      </c>
      <c r="D23" s="10" t="n">
        <v>5</v>
      </c>
      <c r="E23" s="10" t="n">
        <v>1</v>
      </c>
      <c r="F23" s="10" t="n">
        <v>3</v>
      </c>
      <c r="G23" s="10" t="n">
        <v>1</v>
      </c>
      <c r="H23" s="10" t="n">
        <v>4</v>
      </c>
      <c r="I23" s="10" t="n">
        <v>0</v>
      </c>
      <c r="J23" s="10" t="n">
        <v>2</v>
      </c>
      <c r="K23" s="10" t="n">
        <v>3</v>
      </c>
      <c r="L23" s="10" t="n">
        <v>4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4</v>
      </c>
      <c r="C25" s="10" t="n">
        <v>5</v>
      </c>
      <c r="D25" s="10" t="n">
        <v>1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4</v>
      </c>
      <c r="C26" s="10" t="n">
        <v>5</v>
      </c>
      <c r="D26" s="10" t="n">
        <v>1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2012.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2.4</v>
      </c>
      <c r="C6" s="8" t="n">
        <v>-1.6</v>
      </c>
      <c r="D6" s="8" t="n">
        <v>9.199999999999999</v>
      </c>
      <c r="E6" s="8" t="n">
        <v>11.7</v>
      </c>
      <c r="F6" s="8" t="n">
        <v>16.1</v>
      </c>
      <c r="G6" s="8" t="n">
        <v>23.6</v>
      </c>
      <c r="H6" s="8" t="n">
        <v>26.9</v>
      </c>
      <c r="I6" s="8" t="n">
        <v>26.9</v>
      </c>
      <c r="J6" s="8" t="n">
        <v>20.8</v>
      </c>
      <c r="K6" s="8" t="n">
        <v>15.3</v>
      </c>
      <c r="L6" s="8" t="n">
        <v>11.4</v>
      </c>
      <c r="M6" s="8" t="n">
        <v>3.7</v>
      </c>
      <c r="N6" s="9">
        <f>AVERAGE(B6:M6)</f>
        <v/>
      </c>
    </row>
    <row r="7">
      <c r="A7" s="7" t="inlineStr">
        <is>
          <t>Srednja maksimalna</t>
        </is>
      </c>
      <c r="B7" s="8" t="n">
        <v>7.5</v>
      </c>
      <c r="C7" s="8" t="n">
        <v>3.6</v>
      </c>
      <c r="D7" s="8" t="n">
        <v>16.3</v>
      </c>
      <c r="E7" s="8" t="n">
        <v>16.4</v>
      </c>
      <c r="F7" s="8" t="n">
        <v>21.8</v>
      </c>
      <c r="G7" s="8" t="n">
        <v>29.6</v>
      </c>
      <c r="H7" s="8" t="n">
        <v>33.4</v>
      </c>
      <c r="I7" s="8" t="n">
        <v>33.8</v>
      </c>
      <c r="J7" s="8" t="n">
        <v>26.7</v>
      </c>
      <c r="K7" s="8" t="n">
        <v>21</v>
      </c>
      <c r="L7" s="8" t="n">
        <v>16</v>
      </c>
      <c r="M7" s="8" t="n">
        <v>8.199999999999999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-1.9</v>
      </c>
      <c r="C8" s="8" t="n">
        <v>-6.5</v>
      </c>
      <c r="D8" s="8" t="n">
        <v>1.6</v>
      </c>
      <c r="E8" s="8" t="n">
        <v>6.2</v>
      </c>
      <c r="F8" s="8" t="n">
        <v>9.1</v>
      </c>
      <c r="G8" s="8" t="n">
        <v>15.4</v>
      </c>
      <c r="H8" s="8" t="n">
        <v>18.5</v>
      </c>
      <c r="I8" s="8" t="n">
        <v>18.2</v>
      </c>
      <c r="J8" s="8" t="n">
        <v>14.4</v>
      </c>
      <c r="K8" s="8" t="n">
        <v>9.699999999999999</v>
      </c>
      <c r="L8" s="8" t="n">
        <v>7.5</v>
      </c>
      <c r="M8" s="8" t="n">
        <v>-0.3</v>
      </c>
      <c r="N8" s="9">
        <f>AVERAGE(B8:M8)</f>
        <v/>
      </c>
    </row>
    <row r="9">
      <c r="A9" s="7" t="inlineStr">
        <is>
          <t>Apsolutni maksimum</t>
        </is>
      </c>
      <c r="B9" s="8" t="n">
        <v>12.1</v>
      </c>
      <c r="C9" s="8" t="n">
        <v>15.4</v>
      </c>
      <c r="D9" s="8" t="n">
        <v>21.6</v>
      </c>
      <c r="E9" s="8" t="n">
        <v>27.7</v>
      </c>
      <c r="F9" s="8" t="n">
        <v>28.2</v>
      </c>
      <c r="G9" s="8" t="n">
        <v>35.1</v>
      </c>
      <c r="H9" s="8" t="n">
        <v>36.8</v>
      </c>
      <c r="I9" s="8" t="n">
        <v>38.9</v>
      </c>
      <c r="J9" s="8" t="n">
        <v>32.4</v>
      </c>
      <c r="K9" s="8" t="n">
        <v>28</v>
      </c>
      <c r="L9" s="8" t="n">
        <v>20.1</v>
      </c>
      <c r="M9" s="8" t="n">
        <v>13</v>
      </c>
      <c r="N9" s="9">
        <f>MAX(B9:M9)</f>
        <v/>
      </c>
    </row>
    <row r="10">
      <c r="A10" s="7" t="inlineStr">
        <is>
          <t>Apsolutni minimum</t>
        </is>
      </c>
      <c r="B10" s="8" t="n">
        <v>-5.6</v>
      </c>
      <c r="C10" s="8" t="n">
        <v>-16.3</v>
      </c>
      <c r="D10" s="8" t="n">
        <v>-2.1</v>
      </c>
      <c r="E10" s="8" t="n">
        <v>-2.2</v>
      </c>
      <c r="F10" s="8" t="n">
        <v>4.7</v>
      </c>
      <c r="G10" s="8" t="n">
        <v>10.2</v>
      </c>
      <c r="H10" s="8" t="n">
        <v>15.5</v>
      </c>
      <c r="I10" s="8" t="n">
        <v>14</v>
      </c>
      <c r="J10" s="8" t="n">
        <v>6.5</v>
      </c>
      <c r="K10" s="8" t="n">
        <v>2.9</v>
      </c>
      <c r="L10" s="8" t="n">
        <v>2</v>
      </c>
      <c r="M10" s="8" t="n">
        <v>-8.699999999999999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27</v>
      </c>
      <c r="D11" s="10" t="n">
        <v>9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18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14</v>
      </c>
      <c r="H12" s="10" t="n">
        <v>28</v>
      </c>
      <c r="I12" s="10" t="n">
        <v>27</v>
      </c>
      <c r="J12" s="10" t="n">
        <v>9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71</v>
      </c>
      <c r="C14" s="8" t="n">
        <v>72.5</v>
      </c>
      <c r="D14" s="8" t="n">
        <v>64.90000000000001</v>
      </c>
      <c r="E14" s="8" t="n">
        <v>77.7</v>
      </c>
      <c r="F14" s="8" t="n">
        <v>71.09999999999999</v>
      </c>
      <c r="G14" s="8" t="n">
        <v>60.2</v>
      </c>
      <c r="H14" s="8" t="n">
        <v>49.7</v>
      </c>
      <c r="I14" s="8" t="n">
        <v>43.6</v>
      </c>
      <c r="J14" s="8" t="n">
        <v>62.5</v>
      </c>
      <c r="K14" s="8" t="n">
        <v>78.59999999999999</v>
      </c>
      <c r="L14" s="8" t="n">
        <v>84.3</v>
      </c>
      <c r="M14" s="8" t="n">
        <v>78.3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218.4</v>
      </c>
      <c r="C16" s="8" t="n">
        <v>192.1</v>
      </c>
      <c r="D16" s="8" t="n">
        <v>353.9</v>
      </c>
      <c r="E16" s="8" t="n">
        <v>263.3</v>
      </c>
      <c r="F16" s="8" t="n">
        <v>391.4</v>
      </c>
      <c r="G16" s="8" t="n">
        <v>422.2</v>
      </c>
      <c r="H16" s="8" t="n">
        <v>427.1</v>
      </c>
      <c r="I16" s="8" t="n">
        <v>415.8</v>
      </c>
      <c r="J16" s="8" t="n">
        <v>318.4</v>
      </c>
      <c r="K16" s="8" t="n">
        <v>273.1</v>
      </c>
      <c r="L16" s="8" t="n">
        <v>201.5</v>
      </c>
      <c r="M16" s="8" t="n">
        <v>174.4</v>
      </c>
      <c r="N16" s="9">
        <f>SUM(B16:M16)</f>
        <v/>
      </c>
    </row>
    <row r="17">
      <c r="A17" s="7" t="inlineStr">
        <is>
          <t>Broj vedrih dana</t>
        </is>
      </c>
      <c r="B17" s="10" t="n">
        <v>10</v>
      </c>
      <c r="C17" s="10" t="n">
        <v>3</v>
      </c>
      <c r="D17" s="10" t="n">
        <v>14</v>
      </c>
      <c r="E17" s="10" t="n">
        <v>7</v>
      </c>
      <c r="F17" s="10" t="n">
        <v>11</v>
      </c>
      <c r="G17" s="10" t="n">
        <v>19</v>
      </c>
      <c r="H17" s="10" t="n">
        <v>25</v>
      </c>
      <c r="I17" s="10" t="n">
        <v>24</v>
      </c>
      <c r="J17" s="10" t="n">
        <v>12</v>
      </c>
      <c r="K17" s="10" t="n">
        <v>10</v>
      </c>
      <c r="L17" s="10" t="n">
        <v>1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7</v>
      </c>
      <c r="C18" s="10" t="n">
        <v>10</v>
      </c>
      <c r="D18" s="10" t="n">
        <v>1</v>
      </c>
      <c r="E18" s="10" t="n">
        <v>13</v>
      </c>
      <c r="F18" s="10" t="n">
        <v>4</v>
      </c>
      <c r="G18" s="10" t="n">
        <v>1</v>
      </c>
      <c r="H18" s="10" t="n">
        <v>2</v>
      </c>
      <c r="I18" s="10" t="n">
        <v>0</v>
      </c>
      <c r="J18" s="10" t="n">
        <v>2</v>
      </c>
      <c r="K18" s="10" t="n">
        <v>6</v>
      </c>
      <c r="L18" s="10" t="n">
        <v>10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54</v>
      </c>
      <c r="C20" s="8" t="n">
        <v>171.1</v>
      </c>
      <c r="D20" s="8" t="n">
        <v>4.8</v>
      </c>
      <c r="E20" s="8" t="n">
        <v>245.4</v>
      </c>
      <c r="F20" s="8" t="n">
        <v>119</v>
      </c>
      <c r="G20" s="8" t="n">
        <v>18.5</v>
      </c>
      <c r="H20" s="8" t="n">
        <v>17.5</v>
      </c>
      <c r="I20" s="8" t="n">
        <v>0.9</v>
      </c>
      <c r="J20" s="8" t="n">
        <v>107.2</v>
      </c>
      <c r="K20" s="8" t="n">
        <v>252.2</v>
      </c>
      <c r="L20" s="8" t="n">
        <v>197.1</v>
      </c>
      <c r="M20" s="8" t="n">
        <v>194.2</v>
      </c>
      <c r="N20" s="9">
        <f>SUM(B20:M20)</f>
        <v/>
      </c>
    </row>
    <row r="21">
      <c r="A21" s="7" t="inlineStr">
        <is>
          <t>Max. dnevna suma</t>
        </is>
      </c>
      <c r="B21" s="8" t="n">
        <v>12.8</v>
      </c>
      <c r="C21" s="8" t="n">
        <v>41.4</v>
      </c>
      <c r="D21" s="8" t="n">
        <v>2.5</v>
      </c>
      <c r="E21" s="8" t="n">
        <v>25</v>
      </c>
      <c r="F21" s="8" t="n">
        <v>32.1</v>
      </c>
      <c r="G21" s="8" t="n">
        <v>18.3</v>
      </c>
      <c r="H21" s="8" t="n">
        <v>12.6</v>
      </c>
      <c r="I21" s="8" t="n">
        <v>0.6</v>
      </c>
      <c r="J21" s="8" t="n">
        <v>32.6</v>
      </c>
      <c r="K21" s="8" t="n">
        <v>59.6</v>
      </c>
      <c r="L21" s="8" t="n">
        <v>50.4</v>
      </c>
      <c r="M21" s="8" t="n">
        <v>49.6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17</v>
      </c>
      <c r="D22" s="10" t="n">
        <v>8</v>
      </c>
      <c r="E22" s="10" t="n">
        <v>23</v>
      </c>
      <c r="F22" s="10" t="n">
        <v>18</v>
      </c>
      <c r="G22" s="10" t="n">
        <v>3</v>
      </c>
      <c r="H22" s="10" t="n">
        <v>8</v>
      </c>
      <c r="I22" s="10" t="n">
        <v>2</v>
      </c>
      <c r="J22" s="10" t="n">
        <v>10</v>
      </c>
      <c r="K22" s="10" t="n">
        <v>15</v>
      </c>
      <c r="L22" s="10" t="n">
        <v>15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6</v>
      </c>
      <c r="D23" s="10" t="n">
        <v>0</v>
      </c>
      <c r="E23" s="10" t="n">
        <v>11</v>
      </c>
      <c r="F23" s="10" t="n">
        <v>5</v>
      </c>
      <c r="G23" s="10" t="n">
        <v>1</v>
      </c>
      <c r="H23" s="10" t="n">
        <v>1</v>
      </c>
      <c r="I23" s="10" t="n">
        <v>0</v>
      </c>
      <c r="J23" s="10" t="n">
        <v>3</v>
      </c>
      <c r="K23" s="10" t="n">
        <v>9</v>
      </c>
      <c r="L23" s="10" t="n">
        <v>5</v>
      </c>
      <c r="M23" s="10" t="n">
        <v>6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12</v>
      </c>
      <c r="D25" s="10" t="n">
        <v>0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12</v>
      </c>
      <c r="D26" s="10" t="n">
        <v>0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2013.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4.6</v>
      </c>
      <c r="C6" s="8" t="n">
        <v>5.4</v>
      </c>
      <c r="D6" s="8" t="n">
        <v>7.9</v>
      </c>
      <c r="E6" s="8" t="n">
        <v>13.4</v>
      </c>
      <c r="F6" s="8" t="n">
        <v>16.7</v>
      </c>
      <c r="G6" s="8" t="n">
        <v>20.3</v>
      </c>
      <c r="H6" s="8" t="n">
        <v>24.7</v>
      </c>
      <c r="I6" s="8" t="n">
        <v>25.5</v>
      </c>
      <c r="J6" s="8" t="n">
        <v>18.1</v>
      </c>
      <c r="K6" s="8" t="n">
        <v>14.5</v>
      </c>
      <c r="L6" s="8" t="n">
        <v>10.4</v>
      </c>
      <c r="M6" s="8" t="n">
        <v>4</v>
      </c>
      <c r="N6" s="9">
        <f>AVERAGE(B6:M6)</f>
        <v/>
      </c>
    </row>
    <row r="7">
      <c r="A7" s="7" t="inlineStr">
        <is>
          <t>Srednja maksimalna</t>
        </is>
      </c>
      <c r="B7" s="8" t="n">
        <v>9.4</v>
      </c>
      <c r="C7" s="8" t="n">
        <v>10.4</v>
      </c>
      <c r="D7" s="8" t="n">
        <v>12.6</v>
      </c>
      <c r="E7" s="8" t="n">
        <v>19.3</v>
      </c>
      <c r="F7" s="8" t="n">
        <v>21.6</v>
      </c>
      <c r="G7" s="8" t="n">
        <v>25.7</v>
      </c>
      <c r="H7" s="8" t="n">
        <v>31</v>
      </c>
      <c r="I7" s="8" t="n">
        <v>31.9</v>
      </c>
      <c r="J7" s="8" t="n">
        <v>23.9</v>
      </c>
      <c r="K7" s="8" t="n">
        <v>20.1</v>
      </c>
      <c r="L7" s="8" t="n">
        <v>15</v>
      </c>
      <c r="M7" s="8" t="n">
        <v>10.6</v>
      </c>
      <c r="N7" s="9">
        <f>AVERAGE(B7:M7)</f>
        <v/>
      </c>
    </row>
    <row r="8">
      <c r="A8" s="7" t="inlineStr">
        <is>
          <t>Srednja minimalna</t>
        </is>
      </c>
      <c r="B8" s="8" t="n">
        <v>0.3</v>
      </c>
      <c r="C8" s="8" t="n">
        <v>0.5</v>
      </c>
      <c r="D8" s="8" t="n">
        <v>3</v>
      </c>
      <c r="E8" s="8" t="n">
        <v>6.8</v>
      </c>
      <c r="F8" s="8" t="n">
        <v>10.8</v>
      </c>
      <c r="G8" s="8" t="n">
        <v>13.4</v>
      </c>
      <c r="H8" s="8" t="n">
        <v>16.7</v>
      </c>
      <c r="I8" s="8" t="n">
        <v>18.1</v>
      </c>
      <c r="J8" s="8" t="n">
        <v>12.2</v>
      </c>
      <c r="K8" s="8" t="n">
        <v>9.5</v>
      </c>
      <c r="L8" s="8" t="n">
        <v>6.3</v>
      </c>
      <c r="M8" s="8" t="n">
        <v>-0.8</v>
      </c>
      <c r="N8" s="9">
        <f>AVERAGE(B8:M8)</f>
        <v/>
      </c>
    </row>
    <row r="9">
      <c r="A9" s="7" t="inlineStr">
        <is>
          <t>Apsolutni maksimum</t>
        </is>
      </c>
      <c r="B9" s="8" t="n">
        <v>13.2</v>
      </c>
      <c r="C9" s="8" t="n">
        <v>13.1</v>
      </c>
      <c r="D9" s="8" t="n">
        <v>17.5</v>
      </c>
      <c r="E9" s="8" t="n">
        <v>26.8</v>
      </c>
      <c r="F9" s="8" t="n">
        <v>28.8</v>
      </c>
      <c r="G9" s="8" t="n">
        <v>34.2</v>
      </c>
      <c r="H9" s="8" t="n">
        <v>37</v>
      </c>
      <c r="I9" s="8" t="n">
        <v>37.8</v>
      </c>
      <c r="J9" s="8" t="n">
        <v>28.7</v>
      </c>
      <c r="K9" s="8" t="n">
        <v>23.7</v>
      </c>
      <c r="L9" s="8" t="n">
        <v>21.2</v>
      </c>
      <c r="M9" s="8" t="n">
        <v>14.3</v>
      </c>
      <c r="N9" s="9">
        <f>MAX(B9:M9)</f>
        <v/>
      </c>
    </row>
    <row r="10">
      <c r="A10" s="7" t="inlineStr">
        <is>
          <t>Apsolutni minimum</t>
        </is>
      </c>
      <c r="B10" s="8" t="n">
        <v>-4.8</v>
      </c>
      <c r="C10" s="8" t="n">
        <v>-4.9</v>
      </c>
      <c r="D10" s="8" t="n">
        <v>-3.8</v>
      </c>
      <c r="E10" s="8" t="n">
        <v>2.8</v>
      </c>
      <c r="F10" s="8" t="n">
        <v>5.9</v>
      </c>
      <c r="G10" s="8" t="n">
        <v>8.800000000000001</v>
      </c>
      <c r="H10" s="8" t="n">
        <v>11.4</v>
      </c>
      <c r="I10" s="8" t="n">
        <v>12.8</v>
      </c>
      <c r="J10" s="8" t="n">
        <v>7.1</v>
      </c>
      <c r="K10" s="8" t="n">
        <v>1.4</v>
      </c>
      <c r="L10" s="8" t="n">
        <v>-3.2</v>
      </c>
      <c r="M10" s="8" t="n">
        <v>-4.1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13</v>
      </c>
      <c r="D11" s="10" t="n">
        <v>10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4</v>
      </c>
      <c r="M11" s="10" t="n">
        <v>22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19</v>
      </c>
      <c r="I12" s="10" t="n">
        <v>23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80.40000000000001</v>
      </c>
      <c r="C14" s="8" t="n">
        <v>79.09999999999999</v>
      </c>
      <c r="D14" s="8" t="n">
        <v>76.90000000000001</v>
      </c>
      <c r="E14" s="8" t="n">
        <v>71.90000000000001</v>
      </c>
      <c r="F14" s="8" t="n">
        <v>73.90000000000001</v>
      </c>
      <c r="G14" s="8" t="n">
        <v>69.40000000000001</v>
      </c>
      <c r="H14" s="8" t="n">
        <v>55</v>
      </c>
      <c r="I14" s="8" t="n">
        <v>54.5</v>
      </c>
      <c r="J14" s="8" t="n">
        <v>73.59999999999999</v>
      </c>
      <c r="K14" s="8" t="n">
        <v>80.40000000000001</v>
      </c>
      <c r="L14" s="8" t="n">
        <v>80.3</v>
      </c>
      <c r="M14" s="8" t="n">
        <v>80.59999999999999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181.8</v>
      </c>
      <c r="C16" s="8" t="n">
        <v>206.2</v>
      </c>
      <c r="D16" s="8" t="n">
        <v>247.8</v>
      </c>
      <c r="E16" s="8" t="n">
        <v>336.9</v>
      </c>
      <c r="F16" s="8" t="n">
        <v>374.2</v>
      </c>
      <c r="G16" s="8" t="n">
        <v>409.5</v>
      </c>
      <c r="H16" s="8" t="n">
        <v>426.9</v>
      </c>
      <c r="I16" s="8" t="n">
        <v>397</v>
      </c>
      <c r="J16" s="8" t="n">
        <v>317.6</v>
      </c>
      <c r="K16" s="8" t="n">
        <v>265.6</v>
      </c>
      <c r="L16" s="8" t="n">
        <v>199.2</v>
      </c>
      <c r="M16" s="8" t="n">
        <v>219</v>
      </c>
      <c r="N16" s="9">
        <f>SUM(B16:M16)</f>
        <v/>
      </c>
    </row>
    <row r="17">
      <c r="A17" s="7" t="inlineStr">
        <is>
          <t>Broj vedrih dana</t>
        </is>
      </c>
      <c r="B17" s="10" t="n">
        <v>4</v>
      </c>
      <c r="C17" s="10" t="n">
        <v>0</v>
      </c>
      <c r="D17" s="10" t="n">
        <v>4</v>
      </c>
      <c r="E17" s="10" t="n">
        <v>9</v>
      </c>
      <c r="F17" s="10" t="n">
        <v>6</v>
      </c>
      <c r="G17" s="10" t="n">
        <v>12</v>
      </c>
      <c r="H17" s="10" t="n">
        <v>17</v>
      </c>
      <c r="I17" s="10" t="n">
        <v>19</v>
      </c>
      <c r="J17" s="10" t="n">
        <v>12</v>
      </c>
      <c r="K17" s="10" t="n">
        <v>10</v>
      </c>
      <c r="L17" s="10" t="n">
        <v>6</v>
      </c>
      <c r="M17" s="10" t="n">
        <v>14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14</v>
      </c>
      <c r="D18" s="10" t="n">
        <v>18</v>
      </c>
      <c r="E18" s="10" t="n">
        <v>4</v>
      </c>
      <c r="F18" s="10" t="n">
        <v>6</v>
      </c>
      <c r="G18" s="10" t="n">
        <v>1</v>
      </c>
      <c r="H18" s="10" t="n">
        <v>0</v>
      </c>
      <c r="I18" s="10" t="n">
        <v>1</v>
      </c>
      <c r="J18" s="10" t="n">
        <v>5</v>
      </c>
      <c r="K18" s="10" t="n">
        <v>8</v>
      </c>
      <c r="L18" s="10" t="n">
        <v>11</v>
      </c>
      <c r="M18" s="10" t="n">
        <v>5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216</v>
      </c>
      <c r="C20" s="8" t="n">
        <v>261.6</v>
      </c>
      <c r="D20" s="8" t="n">
        <v>342.3</v>
      </c>
      <c r="E20" s="8" t="n">
        <v>167.2</v>
      </c>
      <c r="F20" s="8" t="n">
        <v>204.5</v>
      </c>
      <c r="G20" s="8" t="n">
        <v>64.09999999999999</v>
      </c>
      <c r="H20" s="8" t="n">
        <v>22.3</v>
      </c>
      <c r="I20" s="8" t="n">
        <v>108.8</v>
      </c>
      <c r="J20" s="8" t="n">
        <v>203.1</v>
      </c>
      <c r="K20" s="8" t="n">
        <v>184.2</v>
      </c>
      <c r="L20" s="8" t="n">
        <v>227.3</v>
      </c>
      <c r="M20" s="8" t="n">
        <v>59.4</v>
      </c>
      <c r="N20" s="9">
        <f>SUM(B20:M20)</f>
        <v/>
      </c>
    </row>
    <row r="21">
      <c r="A21" s="7" t="inlineStr">
        <is>
          <t>Max. dnevna suma</t>
        </is>
      </c>
      <c r="B21" s="8" t="n">
        <v>38.5</v>
      </c>
      <c r="C21" s="8" t="n">
        <v>73.2</v>
      </c>
      <c r="D21" s="8" t="n">
        <v>48.7</v>
      </c>
      <c r="E21" s="8" t="n">
        <v>57.3</v>
      </c>
      <c r="F21" s="8" t="n">
        <v>45.9</v>
      </c>
      <c r="G21" s="8" t="n">
        <v>19.6</v>
      </c>
      <c r="H21" s="8" t="n">
        <v>5.5</v>
      </c>
      <c r="I21" s="8" t="n">
        <v>36.4</v>
      </c>
      <c r="J21" s="8" t="n">
        <v>70.3</v>
      </c>
      <c r="K21" s="8" t="n">
        <v>44.9</v>
      </c>
      <c r="L21" s="8" t="n">
        <v>59.4</v>
      </c>
      <c r="M21" s="8" t="n">
        <v>24.8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17</v>
      </c>
      <c r="C22" s="10" t="n">
        <v>21</v>
      </c>
      <c r="D22" s="10" t="n">
        <v>20</v>
      </c>
      <c r="E22" s="10" t="n">
        <v>13</v>
      </c>
      <c r="F22" s="10" t="n">
        <v>22</v>
      </c>
      <c r="G22" s="10" t="n">
        <v>14</v>
      </c>
      <c r="H22" s="10" t="n">
        <v>10</v>
      </c>
      <c r="I22" s="10" t="n">
        <v>9</v>
      </c>
      <c r="J22" s="10" t="n">
        <v>10</v>
      </c>
      <c r="K22" s="10" t="n">
        <v>13</v>
      </c>
      <c r="L22" s="10" t="n">
        <v>18</v>
      </c>
      <c r="M22" s="10" t="n">
        <v>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10</v>
      </c>
      <c r="C23" s="10" t="n">
        <v>8</v>
      </c>
      <c r="D23" s="10" t="n">
        <v>15</v>
      </c>
      <c r="E23" s="10" t="n">
        <v>6</v>
      </c>
      <c r="F23" s="10" t="n">
        <v>9</v>
      </c>
      <c r="G23" s="10" t="n">
        <v>2</v>
      </c>
      <c r="H23" s="10" t="n">
        <v>0</v>
      </c>
      <c r="I23" s="10" t="n">
        <v>3</v>
      </c>
      <c r="J23" s="10" t="n">
        <v>6</v>
      </c>
      <c r="K23" s="10" t="n">
        <v>6</v>
      </c>
      <c r="L23" s="10" t="n">
        <v>9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4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4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2014.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7.3</v>
      </c>
      <c r="C6" s="8" t="n">
        <v>8.6</v>
      </c>
      <c r="D6" s="8" t="n">
        <v>9.199999999999999</v>
      </c>
      <c r="E6" s="8" t="n">
        <v>12.5</v>
      </c>
      <c r="F6" s="8" t="n">
        <v>15.5</v>
      </c>
      <c r="G6" s="8" t="n">
        <v>20.7</v>
      </c>
      <c r="H6" s="8" t="n">
        <v>21.8</v>
      </c>
      <c r="I6" s="8" t="n">
        <v>22.7</v>
      </c>
      <c r="J6" s="8" t="n">
        <v>17.9</v>
      </c>
      <c r="K6" s="8" t="n">
        <v>14.1</v>
      </c>
      <c r="L6" s="8" t="n">
        <v>10.9</v>
      </c>
      <c r="M6" s="8" t="n">
        <v>5.9</v>
      </c>
      <c r="N6" s="9">
        <f>AVERAGE(B6:M6)</f>
        <v/>
      </c>
    </row>
    <row r="7">
      <c r="A7" s="7" t="inlineStr">
        <is>
          <t>Srednja maksimalna</t>
        </is>
      </c>
      <c r="B7" s="8" t="n">
        <v>11.2</v>
      </c>
      <c r="C7" s="8" t="n">
        <v>12.8</v>
      </c>
      <c r="D7" s="8" t="n">
        <v>15.5</v>
      </c>
      <c r="E7" s="8" t="n">
        <v>17.8</v>
      </c>
      <c r="F7" s="8" t="n">
        <v>20.5</v>
      </c>
      <c r="G7" s="8" t="n">
        <v>26.2</v>
      </c>
      <c r="H7" s="8" t="n">
        <v>27.1</v>
      </c>
      <c r="I7" s="8" t="n">
        <v>28.3</v>
      </c>
      <c r="J7" s="8" t="n">
        <v>22.6</v>
      </c>
      <c r="K7" s="8" t="n">
        <v>20</v>
      </c>
      <c r="L7" s="8" t="n">
        <v>15.8</v>
      </c>
      <c r="M7" s="8" t="n">
        <v>10.3</v>
      </c>
      <c r="N7" s="9">
        <f>AVERAGE(B7:M7)</f>
        <v/>
      </c>
    </row>
    <row r="8">
      <c r="A8" s="7" t="inlineStr">
        <is>
          <t>Srednja minimalna</t>
        </is>
      </c>
      <c r="B8" s="8" t="n">
        <v>3.5</v>
      </c>
      <c r="C8" s="8" t="n">
        <v>4.2</v>
      </c>
      <c r="D8" s="8" t="n">
        <v>2.5</v>
      </c>
      <c r="E8" s="8" t="n">
        <v>7</v>
      </c>
      <c r="F8" s="8" t="n">
        <v>9.300000000000001</v>
      </c>
      <c r="G8" s="8" t="n">
        <v>13.8</v>
      </c>
      <c r="H8" s="8" t="n">
        <v>15.6</v>
      </c>
      <c r="I8" s="8" t="n">
        <v>15.9</v>
      </c>
      <c r="J8" s="8" t="n">
        <v>12.9</v>
      </c>
      <c r="K8" s="8" t="n">
        <v>8.6</v>
      </c>
      <c r="L8" s="8" t="n">
        <v>6.8</v>
      </c>
      <c r="M8" s="8" t="n">
        <v>2.2</v>
      </c>
      <c r="N8" s="9">
        <f>AVERAGE(B8:M8)</f>
        <v/>
      </c>
    </row>
    <row r="9">
      <c r="A9" s="7" t="inlineStr">
        <is>
          <t>Apsolutni maksimum</t>
        </is>
      </c>
      <c r="B9" s="8" t="n">
        <v>14.1</v>
      </c>
      <c r="C9" s="8" t="n">
        <v>16.1</v>
      </c>
      <c r="D9" s="8" t="n">
        <v>20.2</v>
      </c>
      <c r="E9" s="8" t="n">
        <v>22</v>
      </c>
      <c r="F9" s="8" t="n">
        <v>26.4</v>
      </c>
      <c r="G9" s="8" t="n">
        <v>33</v>
      </c>
      <c r="H9" s="8" t="n">
        <v>31.7</v>
      </c>
      <c r="I9" s="8" t="n">
        <v>32.5</v>
      </c>
      <c r="J9" s="8" t="n">
        <v>25.9</v>
      </c>
      <c r="K9" s="8" t="n">
        <v>24.2</v>
      </c>
      <c r="L9" s="8" t="n">
        <v>19.2</v>
      </c>
      <c r="M9" s="8" t="n">
        <v>16.2</v>
      </c>
      <c r="N9" s="9">
        <f>MAX(B9:M9)</f>
        <v/>
      </c>
    </row>
    <row r="10">
      <c r="A10" s="7" t="inlineStr">
        <is>
          <t>Apsolutni minimum</t>
        </is>
      </c>
      <c r="B10" s="8" t="n">
        <v>-4.9</v>
      </c>
      <c r="C10" s="8" t="n">
        <v>-1.8</v>
      </c>
      <c r="D10" s="8" t="n">
        <v>-0.5</v>
      </c>
      <c r="E10" s="8" t="n">
        <v>1.8</v>
      </c>
      <c r="F10" s="8" t="n">
        <v>3.4</v>
      </c>
      <c r="G10" s="8" t="n">
        <v>8.699999999999999</v>
      </c>
      <c r="H10" s="8" t="n">
        <v>11.7</v>
      </c>
      <c r="I10" s="8" t="n">
        <v>12.2</v>
      </c>
      <c r="J10" s="8" t="n">
        <v>5.6</v>
      </c>
      <c r="K10" s="8" t="n">
        <v>2.1</v>
      </c>
      <c r="L10" s="8" t="n">
        <v>-0.7</v>
      </c>
      <c r="M10" s="8" t="n">
        <v>-9.800000000000001</v>
      </c>
      <c r="N10" s="9">
        <f>MIN(B10:M10)</f>
        <v/>
      </c>
    </row>
    <row r="11">
      <c r="A11" s="7" t="inlineStr">
        <is>
          <t>Sr. br. mraznih dana</t>
        </is>
      </c>
      <c r="B11" s="10" t="n">
        <v>3</v>
      </c>
      <c r="C11" s="10" t="n">
        <v>3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</v>
      </c>
      <c r="M11" s="10" t="n">
        <v>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2</v>
      </c>
      <c r="I12" s="10" t="n">
        <v>5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86.7</v>
      </c>
      <c r="C14" s="8" t="n">
        <v>83.3</v>
      </c>
      <c r="D14" s="8" t="n">
        <v>74.3</v>
      </c>
      <c r="E14" s="8" t="n">
        <v>75.7</v>
      </c>
      <c r="F14" s="8" t="n">
        <v>72.7</v>
      </c>
      <c r="G14" s="8" t="n">
        <v>68.59999999999999</v>
      </c>
      <c r="H14" s="8" t="n">
        <v>72.3</v>
      </c>
      <c r="I14" s="8" t="n">
        <v>68.7</v>
      </c>
      <c r="J14" s="8" t="n">
        <v>78.7</v>
      </c>
      <c r="K14" s="8" t="n">
        <v>79.09999999999999</v>
      </c>
      <c r="L14" s="8" t="n">
        <v>84.7</v>
      </c>
      <c r="M14" s="8" t="n">
        <v>80.5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152.4</v>
      </c>
      <c r="C16" s="8" t="n">
        <v>170.4</v>
      </c>
      <c r="D16" s="8" t="n">
        <v>294.3</v>
      </c>
      <c r="E16" s="8" t="n">
        <v>313.5</v>
      </c>
      <c r="F16" s="8" t="n">
        <v>361.7</v>
      </c>
      <c r="G16" s="8" t="n">
        <v>390.8</v>
      </c>
      <c r="H16" s="8" t="n">
        <v>406.1</v>
      </c>
      <c r="I16" s="8" t="n">
        <v>411</v>
      </c>
      <c r="J16" s="8" t="n">
        <v>298.8</v>
      </c>
      <c r="K16" s="8" t="n">
        <v>299</v>
      </c>
      <c r="L16" s="8" t="n">
        <v>180</v>
      </c>
      <c r="M16" s="8" t="n">
        <v>185.6</v>
      </c>
      <c r="N16" s="9">
        <f>SUM(B16:M16)</f>
        <v/>
      </c>
    </row>
    <row r="17">
      <c r="A17" s="7" t="inlineStr">
        <is>
          <t>Broj vedrih dana</t>
        </is>
      </c>
      <c r="B17" s="10" t="n">
        <v>0</v>
      </c>
      <c r="C17" s="10" t="n">
        <v>2</v>
      </c>
      <c r="D17" s="10" t="n">
        <v>12</v>
      </c>
      <c r="E17" s="10" t="n">
        <v>1</v>
      </c>
      <c r="F17" s="10" t="n">
        <v>6</v>
      </c>
      <c r="G17" s="10" t="n">
        <v>9</v>
      </c>
      <c r="H17" s="10" t="n">
        <v>9</v>
      </c>
      <c r="I17" s="10" t="n">
        <v>13</v>
      </c>
      <c r="J17" s="10" t="n">
        <v>11</v>
      </c>
      <c r="K17" s="10" t="n">
        <v>10</v>
      </c>
      <c r="L17" s="10" t="n">
        <v>7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17</v>
      </c>
      <c r="C18" s="10" t="n">
        <v>15</v>
      </c>
      <c r="D18" s="10" t="n">
        <v>7</v>
      </c>
      <c r="E18" s="10" t="n">
        <v>12</v>
      </c>
      <c r="F18" s="10" t="n">
        <v>8</v>
      </c>
      <c r="G18" s="10" t="n">
        <v>5</v>
      </c>
      <c r="H18" s="10" t="n">
        <v>2</v>
      </c>
      <c r="I18" s="10" t="n">
        <v>0</v>
      </c>
      <c r="J18" s="10" t="n">
        <v>10</v>
      </c>
      <c r="K18" s="10" t="n">
        <v>4</v>
      </c>
      <c r="L18" s="10" t="n">
        <v>14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255.3</v>
      </c>
      <c r="C20" s="8" t="n">
        <v>187.7</v>
      </c>
      <c r="D20" s="8" t="n">
        <v>81.3</v>
      </c>
      <c r="E20" s="8" t="n">
        <v>115.6</v>
      </c>
      <c r="F20" s="8" t="n">
        <v>84.59999999999999</v>
      </c>
      <c r="G20" s="8" t="n">
        <v>218.1</v>
      </c>
      <c r="H20" s="8" t="n">
        <v>127.4</v>
      </c>
      <c r="I20" s="8" t="n">
        <v>47.6</v>
      </c>
      <c r="J20" s="8" t="n">
        <v>273</v>
      </c>
      <c r="K20" s="8" t="n">
        <v>68.5</v>
      </c>
      <c r="L20" s="8" t="n">
        <v>225.1</v>
      </c>
      <c r="M20" s="8" t="n">
        <v>221</v>
      </c>
      <c r="N20" s="9">
        <f>SUM(B20:M20)</f>
        <v/>
      </c>
    </row>
    <row r="21">
      <c r="A21" s="7" t="inlineStr">
        <is>
          <t>Max. dnevna suma</t>
        </is>
      </c>
      <c r="B21" s="8" t="n">
        <v>45.6</v>
      </c>
      <c r="C21" s="8" t="n">
        <v>23.9</v>
      </c>
      <c r="D21" s="8" t="n">
        <v>21.6</v>
      </c>
      <c r="E21" s="8" t="n">
        <v>19</v>
      </c>
      <c r="F21" s="8" t="n">
        <v>32.4</v>
      </c>
      <c r="G21" s="8" t="n">
        <v>63.6</v>
      </c>
      <c r="H21" s="8" t="n">
        <v>34.3</v>
      </c>
      <c r="I21" s="8" t="n">
        <v>13.4</v>
      </c>
      <c r="J21" s="8" t="n">
        <v>50</v>
      </c>
      <c r="K21" s="8" t="n">
        <v>35.1</v>
      </c>
      <c r="L21" s="8" t="n">
        <v>38.7</v>
      </c>
      <c r="M21" s="8" t="n">
        <v>62.9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19</v>
      </c>
      <c r="D22" s="10" t="n">
        <v>11</v>
      </c>
      <c r="E22" s="10" t="n">
        <v>23</v>
      </c>
      <c r="F22" s="10" t="n">
        <v>20</v>
      </c>
      <c r="G22" s="10" t="n">
        <v>17</v>
      </c>
      <c r="H22" s="10" t="n">
        <v>20</v>
      </c>
      <c r="I22" s="10" t="n">
        <v>10</v>
      </c>
      <c r="J22" s="10" t="n">
        <v>19</v>
      </c>
      <c r="K22" s="10" t="n">
        <v>12</v>
      </c>
      <c r="L22" s="10" t="n">
        <v>17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8</v>
      </c>
      <c r="D23" s="10" t="n">
        <v>3</v>
      </c>
      <c r="E23" s="10" t="n">
        <v>4</v>
      </c>
      <c r="F23" s="10" t="n">
        <v>2</v>
      </c>
      <c r="G23" s="10" t="n">
        <v>7</v>
      </c>
      <c r="H23" s="10" t="n">
        <v>5</v>
      </c>
      <c r="I23" s="10" t="n">
        <v>2</v>
      </c>
      <c r="J23" s="10" t="n">
        <v>8</v>
      </c>
      <c r="K23" s="10" t="n">
        <v>1</v>
      </c>
      <c r="L23" s="10" t="n">
        <v>8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4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2015.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4.2</v>
      </c>
      <c r="C6" s="8" t="n">
        <v>4.8</v>
      </c>
      <c r="D6" s="8" t="n">
        <v>7.8</v>
      </c>
      <c r="E6" s="8" t="n">
        <v>11.5</v>
      </c>
      <c r="F6" s="8" t="n">
        <v>18</v>
      </c>
      <c r="G6" s="8" t="n">
        <v>22</v>
      </c>
      <c r="H6" s="8" t="n">
        <v>28</v>
      </c>
      <c r="I6" s="8" t="n">
        <v>25.8</v>
      </c>
      <c r="J6" s="8" t="n">
        <v>20.7</v>
      </c>
      <c r="K6" s="8" t="n">
        <v>14.4</v>
      </c>
      <c r="L6" s="8" t="n">
        <v>9.300000000000001</v>
      </c>
      <c r="M6" s="8" t="n">
        <v>4.2</v>
      </c>
      <c r="N6" s="9">
        <f>AVERAGE(B6:M6)</f>
        <v/>
      </c>
    </row>
    <row r="7">
      <c r="A7" s="7" t="inlineStr">
        <is>
          <t>Srednja maksimalna</t>
        </is>
      </c>
      <c r="B7" s="8" t="n">
        <v>9.300000000000001</v>
      </c>
      <c r="C7" s="8" t="n">
        <v>10.3</v>
      </c>
      <c r="D7" s="8" t="n">
        <v>13.4</v>
      </c>
      <c r="E7" s="8" t="n">
        <v>17.2</v>
      </c>
      <c r="F7" s="8" t="n">
        <v>23.7</v>
      </c>
      <c r="G7" s="8" t="n">
        <v>28.1</v>
      </c>
      <c r="H7" s="8" t="n">
        <v>34.6</v>
      </c>
      <c r="I7" s="8" t="n">
        <v>32</v>
      </c>
      <c r="J7" s="8" t="n">
        <v>26.5</v>
      </c>
      <c r="K7" s="8" t="n">
        <v>19.1</v>
      </c>
      <c r="L7" s="8" t="n">
        <v>16.2</v>
      </c>
      <c r="M7" s="8" t="n">
        <v>12.3</v>
      </c>
      <c r="N7" s="9">
        <f>AVERAGE(B7:M7)</f>
        <v/>
      </c>
    </row>
    <row r="8">
      <c r="A8" s="7" t="inlineStr">
        <is>
          <t>Srednja minimalna</t>
        </is>
      </c>
      <c r="B8" s="8" t="n">
        <v>0.1</v>
      </c>
      <c r="C8" s="8" t="n">
        <v>-0.4</v>
      </c>
      <c r="D8" s="8" t="n">
        <v>1.7</v>
      </c>
      <c r="E8" s="8" t="n">
        <v>4.7</v>
      </c>
      <c r="F8" s="8" t="n">
        <v>10.9</v>
      </c>
      <c r="G8" s="8" t="n">
        <v>14.6</v>
      </c>
      <c r="H8" s="8" t="n">
        <v>19.2</v>
      </c>
      <c r="I8" s="8" t="n">
        <v>18.6</v>
      </c>
      <c r="J8" s="8" t="n">
        <v>14.7</v>
      </c>
      <c r="K8" s="8" t="n">
        <v>10.1</v>
      </c>
      <c r="L8" s="8" t="n">
        <v>3.8</v>
      </c>
      <c r="M8" s="8" t="n">
        <v>-1.2</v>
      </c>
      <c r="N8" s="9">
        <f>AVERAGE(B8:M8)</f>
        <v/>
      </c>
    </row>
    <row r="9">
      <c r="A9" s="7" t="inlineStr">
        <is>
          <t>Apsolutni maksimum</t>
        </is>
      </c>
      <c r="B9" s="8" t="n">
        <v>12.5</v>
      </c>
      <c r="C9" s="8" t="n">
        <v>15</v>
      </c>
      <c r="D9" s="8" t="n">
        <v>20.9</v>
      </c>
      <c r="E9" s="8" t="n">
        <v>22.8</v>
      </c>
      <c r="F9" s="8" t="n">
        <v>29.6</v>
      </c>
      <c r="G9" s="8" t="n">
        <v>31.6</v>
      </c>
      <c r="H9" s="8" t="n">
        <v>38.7</v>
      </c>
      <c r="I9" s="8" t="n">
        <v>37</v>
      </c>
      <c r="J9" s="8" t="n">
        <v>35.2</v>
      </c>
      <c r="K9" s="8" t="n">
        <v>24.6</v>
      </c>
      <c r="L9" s="8" t="n">
        <v>22.9</v>
      </c>
      <c r="M9" s="8" t="n">
        <v>16.2</v>
      </c>
      <c r="N9" s="9">
        <f>MAX(B9:M9)</f>
        <v/>
      </c>
    </row>
    <row r="10">
      <c r="A10" s="7" t="inlineStr">
        <is>
          <t>Apsolutni minimum</t>
        </is>
      </c>
      <c r="B10" s="8" t="n">
        <v>-8</v>
      </c>
      <c r="C10" s="8" t="n">
        <v>-5.3</v>
      </c>
      <c r="D10" s="8" t="n">
        <v>-3</v>
      </c>
      <c r="E10" s="8" t="n">
        <v>-2</v>
      </c>
      <c r="F10" s="8" t="n">
        <v>5.5</v>
      </c>
      <c r="G10" s="8" t="n">
        <v>9.4</v>
      </c>
      <c r="H10" s="8" t="n">
        <v>13.6</v>
      </c>
      <c r="I10" s="8" t="n">
        <v>14.4</v>
      </c>
      <c r="J10" s="8" t="n">
        <v>10</v>
      </c>
      <c r="K10" s="8" t="n">
        <v>3.7</v>
      </c>
      <c r="L10" s="8" t="n">
        <v>-2.5</v>
      </c>
      <c r="M10" s="8" t="n">
        <v>-4.3</v>
      </c>
      <c r="N10" s="9">
        <f>MIN(B10:M10)</f>
        <v/>
      </c>
    </row>
    <row r="11">
      <c r="A11" s="7" t="inlineStr">
        <is>
          <t>Sr. br. mraznih dana</t>
        </is>
      </c>
      <c r="B11" s="10" t="n">
        <v>17</v>
      </c>
      <c r="C11" s="10" t="n">
        <v>17</v>
      </c>
      <c r="D11" s="10" t="n">
        <v>8</v>
      </c>
      <c r="E11" s="10" t="n">
        <v>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23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11</v>
      </c>
      <c r="H12" s="10" t="n">
        <v>31</v>
      </c>
      <c r="I12" s="10" t="n">
        <v>21</v>
      </c>
      <c r="J12" s="10" t="n">
        <v>6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76.2</v>
      </c>
      <c r="C14" s="8" t="n">
        <v>74.40000000000001</v>
      </c>
      <c r="D14" s="8" t="n">
        <v>69.8</v>
      </c>
      <c r="E14" s="8" t="n">
        <v>63.5</v>
      </c>
      <c r="F14" s="8" t="n">
        <v>65.40000000000001</v>
      </c>
      <c r="G14" s="8" t="n">
        <v>57.8</v>
      </c>
      <c r="H14" s="8" t="n">
        <v>48</v>
      </c>
      <c r="I14" s="8" t="n">
        <v>57.9</v>
      </c>
      <c r="J14" s="8" t="n">
        <v>60.8</v>
      </c>
      <c r="K14" s="8" t="n">
        <v>79.2</v>
      </c>
      <c r="L14" s="8" t="n">
        <v>79.3</v>
      </c>
      <c r="M14" s="8" t="n">
        <v>81.5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201</v>
      </c>
      <c r="C16" s="8" t="n">
        <v>220.2</v>
      </c>
      <c r="D16" s="8" t="n">
        <v>282</v>
      </c>
      <c r="E16" s="8" t="n">
        <v>344.7</v>
      </c>
      <c r="F16" s="8" t="n">
        <v>384.2</v>
      </c>
      <c r="G16" s="8" t="n">
        <v>412.8</v>
      </c>
      <c r="H16" s="8" t="n">
        <v>435.9</v>
      </c>
      <c r="I16" s="8" t="n">
        <v>401.2</v>
      </c>
      <c r="J16" s="8" t="n">
        <v>333.4</v>
      </c>
      <c r="K16" s="8" t="n">
        <v>227.7</v>
      </c>
      <c r="L16" s="8" t="n">
        <v>236.5</v>
      </c>
      <c r="M16" s="8" t="n">
        <v>263.2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9</v>
      </c>
      <c r="D17" s="10" t="n">
        <v>4</v>
      </c>
      <c r="E17" s="10" t="n">
        <v>6</v>
      </c>
      <c r="F17" s="10" t="n">
        <v>5</v>
      </c>
      <c r="G17" s="10" t="n">
        <v>9</v>
      </c>
      <c r="H17" s="10" t="n">
        <v>23</v>
      </c>
      <c r="I17" s="10" t="n">
        <v>11</v>
      </c>
      <c r="J17" s="10" t="n">
        <v>11</v>
      </c>
      <c r="K17" s="10" t="n">
        <v>3</v>
      </c>
      <c r="L17" s="10" t="n">
        <v>13</v>
      </c>
      <c r="M17" s="10" t="n">
        <v>22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10</v>
      </c>
      <c r="D18" s="10" t="n">
        <v>6</v>
      </c>
      <c r="E18" s="10" t="n">
        <v>7</v>
      </c>
      <c r="F18" s="10" t="n">
        <v>7</v>
      </c>
      <c r="G18" s="10" t="n">
        <v>1</v>
      </c>
      <c r="H18" s="10" t="n">
        <v>0</v>
      </c>
      <c r="I18" s="10" t="n">
        <v>0</v>
      </c>
      <c r="J18" s="10" t="n">
        <v>3</v>
      </c>
      <c r="K18" s="10" t="n">
        <v>14</v>
      </c>
      <c r="L18" s="10" t="n">
        <v>4</v>
      </c>
      <c r="M18" s="10" t="n">
        <v>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204.7</v>
      </c>
      <c r="C20" s="8" t="n">
        <v>135.2</v>
      </c>
      <c r="D20" s="8" t="n">
        <v>119.6</v>
      </c>
      <c r="E20" s="8" t="n">
        <v>58.3</v>
      </c>
      <c r="F20" s="8" t="n">
        <v>45.6</v>
      </c>
      <c r="G20" s="8" t="n">
        <v>44.2</v>
      </c>
      <c r="H20" s="8" t="n">
        <v>8.1</v>
      </c>
      <c r="I20" s="8" t="n">
        <v>71.5</v>
      </c>
      <c r="J20" s="8" t="n">
        <v>57.1</v>
      </c>
      <c r="K20" s="8" t="n">
        <v>273.1</v>
      </c>
      <c r="L20" s="8" t="n">
        <v>77</v>
      </c>
      <c r="M20" s="8" t="n">
        <v>0</v>
      </c>
      <c r="N20" s="9">
        <f>SUM(B20:M20)</f>
        <v/>
      </c>
    </row>
    <row r="21">
      <c r="A21" s="7" t="inlineStr">
        <is>
          <t>Max. dnevna suma</t>
        </is>
      </c>
      <c r="B21" s="8" t="n">
        <v>61.3</v>
      </c>
      <c r="C21" s="8" t="n">
        <v>43.4</v>
      </c>
      <c r="D21" s="8" t="n">
        <v>72.2</v>
      </c>
      <c r="E21" s="8" t="n">
        <v>21.6</v>
      </c>
      <c r="F21" s="8" t="n">
        <v>17.4</v>
      </c>
      <c r="G21" s="8" t="n">
        <v>19.4</v>
      </c>
      <c r="H21" s="8" t="n">
        <v>3.3</v>
      </c>
      <c r="I21" s="8" t="n">
        <v>45.1</v>
      </c>
      <c r="J21" s="8" t="n">
        <v>29.7</v>
      </c>
      <c r="K21" s="8" t="n">
        <v>74.3</v>
      </c>
      <c r="L21" s="8" t="n">
        <v>32.3</v>
      </c>
      <c r="M21" s="8" t="n">
        <v>0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15</v>
      </c>
      <c r="C22" s="10" t="n">
        <v>15</v>
      </c>
      <c r="D22" s="10" t="n">
        <v>15</v>
      </c>
      <c r="E22" s="10" t="n">
        <v>15</v>
      </c>
      <c r="F22" s="10" t="n">
        <v>12</v>
      </c>
      <c r="G22" s="10" t="n">
        <v>12</v>
      </c>
      <c r="H22" s="10" t="n">
        <v>6</v>
      </c>
      <c r="I22" s="10" t="n">
        <v>17</v>
      </c>
      <c r="J22" s="10" t="n">
        <v>5</v>
      </c>
      <c r="K22" s="10" t="n">
        <v>20</v>
      </c>
      <c r="L22" s="10" t="n">
        <v>9</v>
      </c>
      <c r="M22" s="10" t="n">
        <v>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5</v>
      </c>
      <c r="C23" s="10" t="n">
        <v>5</v>
      </c>
      <c r="D23" s="10" t="n">
        <v>2</v>
      </c>
      <c r="E23" s="10" t="n">
        <v>2</v>
      </c>
      <c r="F23" s="10" t="n">
        <v>2</v>
      </c>
      <c r="G23" s="10" t="n">
        <v>1</v>
      </c>
      <c r="H23" s="10" t="n">
        <v>0</v>
      </c>
      <c r="I23" s="10" t="n">
        <v>2</v>
      </c>
      <c r="J23" s="10" t="n">
        <v>2</v>
      </c>
      <c r="K23" s="10" t="n">
        <v>7</v>
      </c>
      <c r="L23" s="10" t="n">
        <v>3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2</v>
      </c>
      <c r="D25" s="10" t="n">
        <v>2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2</v>
      </c>
      <c r="D26" s="10" t="n">
        <v>2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2016.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4.9</v>
      </c>
      <c r="C6" s="8" t="n">
        <v>8.6</v>
      </c>
      <c r="D6" s="8" t="n">
        <v>8.699999999999999</v>
      </c>
      <c r="E6" s="8" t="n">
        <v>13.9</v>
      </c>
      <c r="F6" s="8" t="n">
        <v>15.6</v>
      </c>
      <c r="G6" s="8" t="n">
        <v>21.1</v>
      </c>
      <c r="H6" s="8" t="n">
        <v>25.1</v>
      </c>
      <c r="I6" s="8" t="n">
        <v>24.2</v>
      </c>
      <c r="J6" s="8" t="n">
        <v>19.4</v>
      </c>
      <c r="K6" s="8" t="n">
        <v>13.1</v>
      </c>
      <c r="L6" s="8" t="n">
        <v>8.9</v>
      </c>
      <c r="M6" s="8" t="n">
        <v>1.6</v>
      </c>
      <c r="N6" s="9">
        <f>AVERAGE(B6:M6)</f>
        <v/>
      </c>
    </row>
    <row r="7">
      <c r="A7" s="7" t="inlineStr">
        <is>
          <t>Srednja maksimalna</t>
        </is>
      </c>
      <c r="B7" s="8" t="n">
        <v>9.199999999999999</v>
      </c>
      <c r="C7" s="8" t="n">
        <v>13</v>
      </c>
      <c r="D7" s="8" t="n">
        <v>13.6</v>
      </c>
      <c r="E7" s="8" t="n">
        <v>19.7</v>
      </c>
      <c r="F7" s="8" t="n">
        <v>20.5</v>
      </c>
      <c r="G7" s="8" t="n">
        <v>26.4</v>
      </c>
      <c r="H7" s="8" t="n">
        <v>31</v>
      </c>
      <c r="I7" s="8" t="n">
        <v>30.4</v>
      </c>
      <c r="J7" s="8" t="n">
        <v>25.8</v>
      </c>
      <c r="K7" s="8" t="n">
        <v>18.3</v>
      </c>
      <c r="L7" s="8" t="n">
        <v>13.7</v>
      </c>
      <c r="M7" s="8" t="n">
        <v>9.1</v>
      </c>
      <c r="N7" s="9">
        <f>AVERAGE(B7:M7)</f>
        <v/>
      </c>
    </row>
    <row r="8">
      <c r="A8" s="7" t="inlineStr">
        <is>
          <t>Srednja minimalna</t>
        </is>
      </c>
      <c r="B8" s="8" t="n">
        <v>0.9</v>
      </c>
      <c r="C8" s="8" t="n">
        <v>3.9</v>
      </c>
      <c r="D8" s="8" t="n">
        <v>3.6</v>
      </c>
      <c r="E8" s="8" t="n">
        <v>7.4</v>
      </c>
      <c r="F8" s="8" t="n">
        <v>9.699999999999999</v>
      </c>
      <c r="G8" s="8" t="n">
        <v>14.8</v>
      </c>
      <c r="H8" s="8" t="n">
        <v>17.5</v>
      </c>
      <c r="I8" s="8" t="n">
        <v>17</v>
      </c>
      <c r="J8" s="8" t="n">
        <v>13.2</v>
      </c>
      <c r="K8" s="8" t="n">
        <v>8.199999999999999</v>
      </c>
      <c r="L8" s="8" t="n">
        <v>4.6</v>
      </c>
      <c r="M8" s="8" t="n">
        <v>-2.9</v>
      </c>
      <c r="N8" s="9">
        <f>AVERAGE(B8:M8)</f>
        <v/>
      </c>
    </row>
    <row r="9">
      <c r="A9" s="7" t="inlineStr">
        <is>
          <t>Apsolutni maksimum</t>
        </is>
      </c>
      <c r="B9" s="8" t="n">
        <v>14.5</v>
      </c>
      <c r="C9" s="8" t="n">
        <v>19.6</v>
      </c>
      <c r="D9" s="8" t="n">
        <v>18.5</v>
      </c>
      <c r="E9" s="8" t="n">
        <v>23.8</v>
      </c>
      <c r="F9" s="8" t="n">
        <v>27</v>
      </c>
      <c r="G9" s="8" t="n">
        <v>34.5</v>
      </c>
      <c r="H9" s="8" t="n">
        <v>34.9</v>
      </c>
      <c r="I9" s="8" t="n">
        <v>33.4</v>
      </c>
      <c r="J9" s="8" t="n">
        <v>31.6</v>
      </c>
      <c r="K9" s="8" t="n">
        <v>23.3</v>
      </c>
      <c r="L9" s="8" t="n">
        <v>18.3</v>
      </c>
      <c r="M9" s="8" t="n">
        <v>12</v>
      </c>
      <c r="N9" s="9">
        <f>MAX(B9:M9)</f>
        <v/>
      </c>
    </row>
    <row r="10">
      <c r="A10" s="7" t="inlineStr">
        <is>
          <t>Apsolutni minimum</t>
        </is>
      </c>
      <c r="B10" s="8" t="n">
        <v>-5.7</v>
      </c>
      <c r="C10" s="8" t="n">
        <v>-4.1</v>
      </c>
      <c r="D10" s="8" t="n">
        <v>-1.7</v>
      </c>
      <c r="E10" s="8" t="n">
        <v>-0.4</v>
      </c>
      <c r="F10" s="8" t="n">
        <v>5.4</v>
      </c>
      <c r="G10" s="8" t="n">
        <v>8.9</v>
      </c>
      <c r="H10" s="8" t="n">
        <v>13.4</v>
      </c>
      <c r="I10" s="8" t="n">
        <v>11.8</v>
      </c>
      <c r="J10" s="8" t="n">
        <v>7.1</v>
      </c>
      <c r="K10" s="8" t="n">
        <v>2.1</v>
      </c>
      <c r="L10" s="8" t="n">
        <v>-3.1</v>
      </c>
      <c r="M10" s="8" t="n">
        <v>-6</v>
      </c>
      <c r="N10" s="9">
        <f>MIN(B10:M10)</f>
        <v/>
      </c>
    </row>
    <row r="11">
      <c r="A11" s="7" t="inlineStr">
        <is>
          <t>Sr. br. mraznih dana</t>
        </is>
      </c>
      <c r="B11" s="10" t="n">
        <v>14</v>
      </c>
      <c r="C11" s="10" t="n">
        <v>6</v>
      </c>
      <c r="D11" s="10" t="n">
        <v>2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30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23</v>
      </c>
      <c r="I12" s="10" t="n">
        <v>22</v>
      </c>
      <c r="J12" s="10" t="n">
        <v>5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79.40000000000001</v>
      </c>
      <c r="C14" s="8" t="n">
        <v>81.3</v>
      </c>
      <c r="D14" s="8" t="n">
        <v>77.2</v>
      </c>
      <c r="E14" s="8" t="n">
        <v>68.7</v>
      </c>
      <c r="F14" s="8" t="n">
        <v>74.90000000000001</v>
      </c>
      <c r="G14" s="8" t="n">
        <v>73.7</v>
      </c>
      <c r="H14" s="8" t="n">
        <v>58.9</v>
      </c>
      <c r="I14" s="8" t="n">
        <v>55.7</v>
      </c>
      <c r="J14" s="8" t="n">
        <v>68.2</v>
      </c>
      <c r="K14" s="8" t="n">
        <v>76.5</v>
      </c>
      <c r="L14" s="8" t="n">
        <v>79.7</v>
      </c>
      <c r="M14" s="8" t="n">
        <v>74.2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183</v>
      </c>
      <c r="C16" s="8" t="n">
        <v>191</v>
      </c>
      <c r="D16" s="8" t="n">
        <v>247.6</v>
      </c>
      <c r="E16" s="8" t="n">
        <v>333.9</v>
      </c>
      <c r="F16" s="8" t="n">
        <v>360.8</v>
      </c>
      <c r="G16" s="8" t="n">
        <v>384.1</v>
      </c>
      <c r="H16" s="8" t="n">
        <v>425.9</v>
      </c>
      <c r="I16" s="8" t="n">
        <v>407.8</v>
      </c>
      <c r="J16" s="8" t="n">
        <v>313.2</v>
      </c>
      <c r="K16" s="8" t="n">
        <v>262</v>
      </c>
      <c r="L16" s="8" t="n">
        <v>201.8</v>
      </c>
      <c r="M16" s="8" t="n">
        <v>252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2</v>
      </c>
      <c r="D17" s="10" t="n">
        <v>4</v>
      </c>
      <c r="E17" s="10" t="n">
        <v>8</v>
      </c>
      <c r="F17" s="10" t="n">
        <v>5</v>
      </c>
      <c r="G17" s="10" t="n">
        <v>2</v>
      </c>
      <c r="H17" s="10" t="n">
        <v>22</v>
      </c>
      <c r="I17" s="10" t="n">
        <v>20</v>
      </c>
      <c r="J17" s="10" t="n">
        <v>8</v>
      </c>
      <c r="K17" s="10" t="n">
        <v>7</v>
      </c>
      <c r="L17" s="10" t="n">
        <v>7</v>
      </c>
      <c r="M17" s="10" t="n">
        <v>19</v>
      </c>
      <c r="N17" s="11">
        <f>SUM(B17:M17)</f>
        <v/>
      </c>
    </row>
    <row r="18">
      <c r="A18" s="7" t="inlineStr">
        <is>
          <t>Broj oblačnih dana</t>
        </is>
      </c>
      <c r="B18" s="10" t="n">
        <v>12</v>
      </c>
      <c r="C18" s="10" t="n">
        <v>10</v>
      </c>
      <c r="D18" s="10" t="n">
        <v>14</v>
      </c>
      <c r="E18" s="10" t="n">
        <v>6</v>
      </c>
      <c r="F18" s="10" t="n">
        <v>8</v>
      </c>
      <c r="G18" s="10" t="n">
        <v>5</v>
      </c>
      <c r="H18" s="10" t="n">
        <v>1</v>
      </c>
      <c r="I18" s="10" t="n">
        <v>1</v>
      </c>
      <c r="J18" s="10" t="n">
        <v>5</v>
      </c>
      <c r="K18" s="10" t="n">
        <v>10</v>
      </c>
      <c r="L18" s="10" t="n">
        <v>11</v>
      </c>
      <c r="M18" s="10" t="n">
        <v>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139.8</v>
      </c>
      <c r="C20" s="8" t="n">
        <v>223.8</v>
      </c>
      <c r="D20" s="8" t="n">
        <v>154.9</v>
      </c>
      <c r="E20" s="8" t="n">
        <v>109.7</v>
      </c>
      <c r="F20" s="8" t="n">
        <v>188.9</v>
      </c>
      <c r="G20" s="8" t="n">
        <v>109.7</v>
      </c>
      <c r="H20" s="8" t="n">
        <v>34.8</v>
      </c>
      <c r="I20" s="8" t="n">
        <v>25.9</v>
      </c>
      <c r="J20" s="8" t="n">
        <v>109.5</v>
      </c>
      <c r="K20" s="8" t="n">
        <v>227</v>
      </c>
      <c r="L20" s="8" t="n">
        <v>214.2</v>
      </c>
      <c r="M20" s="8" t="n">
        <v>1.7</v>
      </c>
      <c r="N20" s="9">
        <f>SUM(B20:M20)</f>
        <v/>
      </c>
    </row>
    <row r="21">
      <c r="A21" s="7" t="inlineStr">
        <is>
          <t>Max. dnevna suma</t>
        </is>
      </c>
      <c r="B21" s="8" t="n">
        <v>32.2</v>
      </c>
      <c r="C21" s="8" t="n">
        <v>47.9</v>
      </c>
      <c r="D21" s="8" t="n">
        <v>39.1</v>
      </c>
      <c r="E21" s="8" t="n">
        <v>26</v>
      </c>
      <c r="F21" s="8" t="n">
        <v>27.4</v>
      </c>
      <c r="G21" s="8" t="n">
        <v>41</v>
      </c>
      <c r="H21" s="8" t="n">
        <v>21.1</v>
      </c>
      <c r="I21" s="8" t="n">
        <v>6.2</v>
      </c>
      <c r="J21" s="8" t="n">
        <v>29.5</v>
      </c>
      <c r="K21" s="8" t="n">
        <v>40.9</v>
      </c>
      <c r="L21" s="8" t="n">
        <v>34.1</v>
      </c>
      <c r="M21" s="8" t="n">
        <v>1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17</v>
      </c>
      <c r="C22" s="10" t="n">
        <v>22</v>
      </c>
      <c r="D22" s="10" t="n">
        <v>21</v>
      </c>
      <c r="E22" s="10" t="n">
        <v>12</v>
      </c>
      <c r="F22" s="10" t="n">
        <v>23</v>
      </c>
      <c r="G22" s="10" t="n">
        <v>23</v>
      </c>
      <c r="H22" s="10" t="n">
        <v>9</v>
      </c>
      <c r="I22" s="10" t="n">
        <v>9</v>
      </c>
      <c r="J22" s="10" t="n">
        <v>16</v>
      </c>
      <c r="K22" s="10" t="n">
        <v>16</v>
      </c>
      <c r="L22" s="10" t="n">
        <v>16</v>
      </c>
      <c r="M22" s="10" t="n">
        <v>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5</v>
      </c>
      <c r="C23" s="10" t="n">
        <v>8</v>
      </c>
      <c r="D23" s="10" t="n">
        <v>5</v>
      </c>
      <c r="E23" s="10" t="n">
        <v>5</v>
      </c>
      <c r="F23" s="10" t="n">
        <v>9</v>
      </c>
      <c r="G23" s="10" t="n">
        <v>3</v>
      </c>
      <c r="H23" s="10" t="n">
        <v>1</v>
      </c>
      <c r="I23" s="10" t="n">
        <v>0</v>
      </c>
      <c r="J23" s="10" t="n">
        <v>4</v>
      </c>
      <c r="K23" s="10" t="n">
        <v>9</v>
      </c>
      <c r="L23" s="10" t="n">
        <v>8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2017.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0.3</v>
      </c>
      <c r="C6" s="8" t="n">
        <v>7.7</v>
      </c>
      <c r="D6" s="8" t="n">
        <v>10.7</v>
      </c>
      <c r="E6" s="8" t="n">
        <v>11.9</v>
      </c>
      <c r="F6" s="8" t="n">
        <v>17.6</v>
      </c>
      <c r="G6" s="8" t="n">
        <v>24.3</v>
      </c>
      <c r="H6" s="8" t="n">
        <v>26.4</v>
      </c>
      <c r="I6" s="8" t="n">
        <v>27.5</v>
      </c>
      <c r="J6" s="8" t="n">
        <v>18.5</v>
      </c>
      <c r="K6" s="8" t="n">
        <v>13.9</v>
      </c>
      <c r="L6" s="8" t="n">
        <v>9.199999999999999</v>
      </c>
      <c r="M6" s="8" t="n">
        <v>5.6</v>
      </c>
      <c r="N6" s="9">
        <f>AVERAGE(B6:M6)</f>
        <v/>
      </c>
    </row>
    <row r="7">
      <c r="A7" s="7" t="inlineStr">
        <is>
          <t>Srednja maksimalna</t>
        </is>
      </c>
      <c r="B7" s="8" t="n">
        <v>5.8</v>
      </c>
      <c r="C7" s="8" t="n">
        <v>13.5</v>
      </c>
      <c r="D7" s="8" t="n">
        <v>17.1</v>
      </c>
      <c r="E7" s="8" t="n">
        <v>17.9</v>
      </c>
      <c r="F7" s="8" t="n">
        <v>23.7</v>
      </c>
      <c r="G7" s="8" t="n">
        <v>30.5</v>
      </c>
      <c r="H7" s="8" t="n">
        <v>33.3</v>
      </c>
      <c r="I7" s="8" t="n">
        <v>35.2</v>
      </c>
      <c r="J7" s="8" t="n">
        <v>24.5</v>
      </c>
      <c r="K7" s="8" t="n">
        <v>20.9</v>
      </c>
      <c r="L7" s="8" t="n">
        <v>14.1</v>
      </c>
      <c r="M7" s="8" t="n">
        <v>9.9</v>
      </c>
      <c r="N7" s="9">
        <f>AVERAGE(B7:M7)</f>
        <v/>
      </c>
    </row>
    <row r="8">
      <c r="A8" s="7" t="inlineStr">
        <is>
          <t>Srednja minimalna</t>
        </is>
      </c>
      <c r="B8" s="8" t="n">
        <v>-3.5</v>
      </c>
      <c r="C8" s="8" t="n">
        <v>2.9</v>
      </c>
      <c r="D8" s="8" t="n">
        <v>4.8</v>
      </c>
      <c r="E8" s="8" t="n">
        <v>6</v>
      </c>
      <c r="F8" s="8" t="n">
        <v>11.8</v>
      </c>
      <c r="G8" s="8" t="n">
        <v>17.8</v>
      </c>
      <c r="H8" s="8" t="n">
        <v>19.2</v>
      </c>
      <c r="I8" s="8" t="n">
        <v>20.2</v>
      </c>
      <c r="J8" s="8" t="n">
        <v>13.8</v>
      </c>
      <c r="K8" s="8" t="n">
        <v>8.300000000000001</v>
      </c>
      <c r="L8" s="8" t="n">
        <v>5</v>
      </c>
      <c r="M8" s="8" t="n">
        <v>1.5</v>
      </c>
      <c r="N8" s="9">
        <f>AVERAGE(B8:M8)</f>
        <v/>
      </c>
    </row>
    <row r="9">
      <c r="A9" s="7" t="inlineStr">
        <is>
          <t>Apsolutni maksimum</t>
        </is>
      </c>
      <c r="B9" s="8" t="n">
        <v>11.3</v>
      </c>
      <c r="C9" s="8" t="n">
        <v>17.2</v>
      </c>
      <c r="D9" s="8" t="n">
        <v>23.1</v>
      </c>
      <c r="E9" s="8" t="n">
        <v>22.1</v>
      </c>
      <c r="F9" s="8" t="n">
        <v>27.4</v>
      </c>
      <c r="G9" s="8" t="n">
        <v>35.7</v>
      </c>
      <c r="H9" s="8" t="n">
        <v>37.1</v>
      </c>
      <c r="I9" s="8" t="n">
        <v>41.1</v>
      </c>
      <c r="J9" s="8" t="n">
        <v>31.5</v>
      </c>
      <c r="K9" s="8" t="n">
        <v>26.4</v>
      </c>
      <c r="L9" s="8" t="n">
        <v>17.2</v>
      </c>
      <c r="M9" s="8" t="n">
        <v>16.1</v>
      </c>
      <c r="N9" s="9">
        <f>MAX(B9:M9)</f>
        <v/>
      </c>
    </row>
    <row r="10">
      <c r="A10" s="7" t="inlineStr">
        <is>
          <t>Apsolutni minimum</t>
        </is>
      </c>
      <c r="B10" s="8" t="n">
        <v>-9</v>
      </c>
      <c r="C10" s="8" t="n">
        <v>-3.7</v>
      </c>
      <c r="D10" s="8" t="n">
        <v>-0.6</v>
      </c>
      <c r="E10" s="8" t="n">
        <v>0.1</v>
      </c>
      <c r="F10" s="8" t="n">
        <v>7.4</v>
      </c>
      <c r="G10" s="8" t="n">
        <v>13.1</v>
      </c>
      <c r="H10" s="8" t="n">
        <v>15.8</v>
      </c>
      <c r="I10" s="8" t="n">
        <v>14.9</v>
      </c>
      <c r="J10" s="8" t="n">
        <v>7.6</v>
      </c>
      <c r="K10" s="8" t="n">
        <v>4</v>
      </c>
      <c r="L10" s="8" t="n">
        <v>-1.9</v>
      </c>
      <c r="M10" s="8" t="n">
        <v>-4.1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7</v>
      </c>
      <c r="D11" s="10" t="n">
        <v>1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14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16</v>
      </c>
      <c r="H12" s="10" t="n">
        <v>26</v>
      </c>
      <c r="I12" s="10" t="n">
        <v>28</v>
      </c>
      <c r="J12" s="10" t="n">
        <v>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59.5</v>
      </c>
      <c r="C14" s="8" t="n">
        <v>75.5</v>
      </c>
      <c r="D14" s="8" t="n">
        <v>66.5</v>
      </c>
      <c r="E14" s="8" t="n">
        <v>66.7</v>
      </c>
      <c r="F14" s="8" t="n">
        <v>67.09999999999999</v>
      </c>
      <c r="G14" s="8" t="n">
        <v>55.3</v>
      </c>
      <c r="H14" s="8" t="n">
        <v>45.1</v>
      </c>
      <c r="I14" s="8" t="n">
        <v>41.8</v>
      </c>
      <c r="J14" s="8" t="n">
        <v>70.5</v>
      </c>
      <c r="K14" s="8" t="n">
        <v>70.90000000000001</v>
      </c>
      <c r="L14" s="8" t="n">
        <v>76.2</v>
      </c>
      <c r="M14" s="8" t="n">
        <v>74.7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222</v>
      </c>
      <c r="C16" s="8" t="n">
        <v>211</v>
      </c>
      <c r="D16" s="8" t="n">
        <v>319.5</v>
      </c>
      <c r="E16" s="8" t="n">
        <v>307</v>
      </c>
      <c r="F16" s="8" t="n">
        <v>392.1</v>
      </c>
      <c r="G16" s="8" t="n">
        <v>399.8</v>
      </c>
      <c r="H16" s="8" t="n">
        <v>429.4</v>
      </c>
      <c r="I16" s="8" t="n">
        <v>411.8</v>
      </c>
      <c r="J16" s="8" t="n">
        <v>305.6</v>
      </c>
      <c r="K16" s="8" t="n">
        <v>302.9</v>
      </c>
      <c r="L16" s="8" t="n">
        <v>190</v>
      </c>
      <c r="M16" s="8" t="n">
        <v>196.5</v>
      </c>
      <c r="N16" s="9">
        <f>SUM(B16:M16)</f>
        <v/>
      </c>
    </row>
    <row r="17">
      <c r="A17" s="7" t="inlineStr">
        <is>
          <t>Broj vedrih dana</t>
        </is>
      </c>
      <c r="B17" s="10" t="n">
        <v>10</v>
      </c>
      <c r="C17" s="10" t="n">
        <v>5</v>
      </c>
      <c r="D17" s="10" t="n">
        <v>13</v>
      </c>
      <c r="E17" s="10" t="n">
        <v>8</v>
      </c>
      <c r="F17" s="10" t="n">
        <v>8</v>
      </c>
      <c r="G17" s="10" t="n">
        <v>9</v>
      </c>
      <c r="H17" s="10" t="n">
        <v>21</v>
      </c>
      <c r="I17" s="10" t="n">
        <v>25</v>
      </c>
      <c r="J17" s="10" t="n">
        <v>6</v>
      </c>
      <c r="K17" s="10" t="n">
        <v>8</v>
      </c>
      <c r="L17" s="10" t="n">
        <v>3</v>
      </c>
      <c r="M17" s="10" t="n">
        <v>7</v>
      </c>
      <c r="N17" s="11">
        <f>SUM(B17:M17)</f>
        <v/>
      </c>
    </row>
    <row r="18">
      <c r="A18" s="7" t="inlineStr">
        <is>
          <t>Broj oblačnih dana</t>
        </is>
      </c>
      <c r="B18" s="10" t="n">
        <v>9</v>
      </c>
      <c r="C18" s="10" t="n">
        <v>12</v>
      </c>
      <c r="D18" s="10" t="n">
        <v>4</v>
      </c>
      <c r="E18" s="10" t="n">
        <v>4</v>
      </c>
      <c r="F18" s="10" t="n">
        <v>3</v>
      </c>
      <c r="G18" s="10" t="n">
        <v>1</v>
      </c>
      <c r="H18" s="10" t="n">
        <v>0</v>
      </c>
      <c r="I18" s="10" t="n">
        <v>0</v>
      </c>
      <c r="J18" s="10" t="n">
        <v>3</v>
      </c>
      <c r="K18" s="10" t="n">
        <v>1</v>
      </c>
      <c r="L18" s="10" t="n">
        <v>9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68.7</v>
      </c>
      <c r="C20" s="8" t="n">
        <v>113</v>
      </c>
      <c r="D20" s="8" t="n">
        <v>90.3</v>
      </c>
      <c r="E20" s="8" t="n">
        <v>82.5</v>
      </c>
      <c r="F20" s="8" t="n">
        <v>50.8</v>
      </c>
      <c r="G20" s="8" t="n">
        <v>20.8</v>
      </c>
      <c r="H20" s="8" t="n">
        <v>34.7</v>
      </c>
      <c r="I20" s="8" t="n">
        <v>6.4</v>
      </c>
      <c r="J20" s="8" t="n">
        <v>179.6</v>
      </c>
      <c r="K20" s="8" t="n">
        <v>42.6</v>
      </c>
      <c r="L20" s="8" t="n">
        <v>187.8</v>
      </c>
      <c r="M20" s="8" t="n">
        <v>132.1</v>
      </c>
      <c r="N20" s="9">
        <f>SUM(B20:M20)</f>
        <v/>
      </c>
    </row>
    <row r="21">
      <c r="A21" s="7" t="inlineStr">
        <is>
          <t>Max. dnevna suma</t>
        </is>
      </c>
      <c r="B21" s="8" t="n">
        <v>27.9</v>
      </c>
      <c r="C21" s="8" t="n">
        <v>27.8</v>
      </c>
      <c r="D21" s="8" t="n">
        <v>27.5</v>
      </c>
      <c r="E21" s="8" t="n">
        <v>23.4</v>
      </c>
      <c r="F21" s="8" t="n">
        <v>11</v>
      </c>
      <c r="G21" s="8" t="n">
        <v>7.9</v>
      </c>
      <c r="H21" s="8" t="n">
        <v>25.8</v>
      </c>
      <c r="I21" s="8" t="n">
        <v>3.7</v>
      </c>
      <c r="J21" s="8" t="n">
        <v>34.2</v>
      </c>
      <c r="K21" s="8" t="n">
        <v>17.9</v>
      </c>
      <c r="L21" s="8" t="n">
        <v>41.1</v>
      </c>
      <c r="M21" s="8" t="n">
        <v>31.5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12</v>
      </c>
      <c r="C22" s="10" t="n">
        <v>16</v>
      </c>
      <c r="D22" s="10" t="n">
        <v>9</v>
      </c>
      <c r="E22" s="10" t="n">
        <v>15</v>
      </c>
      <c r="F22" s="10" t="n">
        <v>17</v>
      </c>
      <c r="G22" s="10" t="n">
        <v>12</v>
      </c>
      <c r="H22" s="10" t="n">
        <v>10</v>
      </c>
      <c r="I22" s="10" t="n">
        <v>8</v>
      </c>
      <c r="J22" s="10" t="n">
        <v>18</v>
      </c>
      <c r="K22" s="10" t="n">
        <v>8</v>
      </c>
      <c r="L22" s="10" t="n">
        <v>17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5</v>
      </c>
      <c r="D23" s="10" t="n">
        <v>3</v>
      </c>
      <c r="E23" s="10" t="n">
        <v>2</v>
      </c>
      <c r="F23" s="10" t="n">
        <v>1</v>
      </c>
      <c r="G23" s="10" t="n">
        <v>0</v>
      </c>
      <c r="H23" s="10" t="n">
        <v>1</v>
      </c>
      <c r="I23" s="10" t="n">
        <v>0</v>
      </c>
      <c r="J23" s="10" t="n">
        <v>8</v>
      </c>
      <c r="K23" s="10" t="n">
        <v>1</v>
      </c>
      <c r="L23" s="10" t="n">
        <v>7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4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4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2018.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6.4</v>
      </c>
      <c r="C6" s="8" t="n">
        <v>5.4</v>
      </c>
      <c r="D6" s="8" t="n">
        <v>8.800000000000001</v>
      </c>
      <c r="E6" s="8" t="n">
        <v>15.6</v>
      </c>
      <c r="F6" s="8" t="n">
        <v>19.8</v>
      </c>
      <c r="G6" s="8" t="n">
        <v>22.2</v>
      </c>
      <c r="H6" s="8" t="n">
        <v>25.8</v>
      </c>
      <c r="I6" s="8" t="n">
        <v>27.1</v>
      </c>
      <c r="J6" s="8" t="n">
        <v>21.6</v>
      </c>
      <c r="K6" s="8" t="n">
        <v>16.9</v>
      </c>
      <c r="L6" s="8" t="n">
        <v>11.3</v>
      </c>
      <c r="M6" s="8" t="n">
        <v>4.8</v>
      </c>
      <c r="N6" s="9">
        <f>AVERAGE(B6:M6)</f>
        <v/>
      </c>
    </row>
    <row r="7">
      <c r="A7" s="7" t="inlineStr">
        <is>
          <t>Srednja maksimalna</t>
        </is>
      </c>
      <c r="B7" s="8" t="n">
        <v>11.3</v>
      </c>
      <c r="C7" s="8" t="n">
        <v>9.699999999999999</v>
      </c>
      <c r="D7" s="8" t="n">
        <v>13.4</v>
      </c>
      <c r="E7" s="8" t="n">
        <v>22.5</v>
      </c>
      <c r="F7" s="8" t="n">
        <v>25.5</v>
      </c>
      <c r="G7" s="8" t="n">
        <v>27.6</v>
      </c>
      <c r="H7" s="8" t="n">
        <v>31.9</v>
      </c>
      <c r="I7" s="8" t="n">
        <v>33.8</v>
      </c>
      <c r="J7" s="8" t="n">
        <v>28.6</v>
      </c>
      <c r="K7" s="8" t="n">
        <v>23.4</v>
      </c>
      <c r="L7" s="8" t="n">
        <v>16.6</v>
      </c>
      <c r="M7" s="8" t="n">
        <v>9.699999999999999</v>
      </c>
      <c r="N7" s="9">
        <f>AVERAGE(B7:M7)</f>
        <v/>
      </c>
    </row>
    <row r="8">
      <c r="A8" s="7" t="inlineStr">
        <is>
          <t>Srednja minimalna</t>
        </is>
      </c>
      <c r="B8" s="8" t="n">
        <v>1.9</v>
      </c>
      <c r="C8" s="8" t="n">
        <v>1.6</v>
      </c>
      <c r="D8" s="8" t="n">
        <v>4.8</v>
      </c>
      <c r="E8" s="8" t="n">
        <v>9.199999999999999</v>
      </c>
      <c r="F8" s="8" t="n">
        <v>14</v>
      </c>
      <c r="G8" s="8" t="n">
        <v>16.9</v>
      </c>
      <c r="H8" s="8" t="n">
        <v>19.5</v>
      </c>
      <c r="I8" s="8" t="n">
        <v>20.4</v>
      </c>
      <c r="J8" s="8" t="n">
        <v>15.4</v>
      </c>
      <c r="K8" s="8" t="n">
        <v>11.6</v>
      </c>
      <c r="L8" s="8" t="n">
        <v>7.1</v>
      </c>
      <c r="M8" s="8" t="n">
        <v>0.5</v>
      </c>
      <c r="N8" s="9">
        <f>AVERAGE(B8:M8)</f>
        <v/>
      </c>
    </row>
    <row r="9">
      <c r="A9" s="7" t="inlineStr">
        <is>
          <t>Apsolutni maksimum</t>
        </is>
      </c>
      <c r="B9" s="8" t="n">
        <v>16</v>
      </c>
      <c r="C9" s="8" t="n">
        <v>14.1</v>
      </c>
      <c r="D9" s="8" t="n">
        <v>17.6</v>
      </c>
      <c r="E9" s="8" t="n">
        <v>28.2</v>
      </c>
      <c r="F9" s="8" t="n">
        <v>30.1</v>
      </c>
      <c r="G9" s="8" t="n">
        <v>33.1</v>
      </c>
      <c r="H9" s="8" t="n">
        <v>35.5</v>
      </c>
      <c r="I9" s="8" t="n">
        <v>37</v>
      </c>
      <c r="J9" s="8" t="n">
        <v>32.3</v>
      </c>
      <c r="K9" s="8" t="n">
        <v>26.9</v>
      </c>
      <c r="L9" s="8" t="n">
        <v>24.1</v>
      </c>
      <c r="M9" s="8" t="n">
        <v>13.8</v>
      </c>
      <c r="N9" s="9">
        <f>MAX(B9:M9)</f>
        <v/>
      </c>
    </row>
    <row r="10">
      <c r="A10" s="7" t="inlineStr">
        <is>
          <t>Apsolutni minimum</t>
        </is>
      </c>
      <c r="B10" s="8" t="n">
        <v>-2.7</v>
      </c>
      <c r="C10" s="8" t="n">
        <v>-5.9</v>
      </c>
      <c r="D10" s="8" t="n">
        <v>-5.4</v>
      </c>
      <c r="E10" s="8" t="n">
        <v>2.2</v>
      </c>
      <c r="F10" s="8" t="n">
        <v>9.699999999999999</v>
      </c>
      <c r="G10" s="8" t="n">
        <v>12.6</v>
      </c>
      <c r="H10" s="8" t="n">
        <v>17.3</v>
      </c>
      <c r="I10" s="8" t="n">
        <v>17.2</v>
      </c>
      <c r="J10" s="8" t="n">
        <v>6.7</v>
      </c>
      <c r="K10" s="8" t="n">
        <v>6.6</v>
      </c>
      <c r="L10" s="8" t="n">
        <v>-2.3</v>
      </c>
      <c r="M10" s="8" t="n">
        <v>-3.9</v>
      </c>
      <c r="N10" s="9">
        <f>MIN(B10:M10)</f>
        <v/>
      </c>
    </row>
    <row r="11">
      <c r="A11" s="7" t="inlineStr">
        <is>
          <t>Sr. br. mraznih dana</t>
        </is>
      </c>
      <c r="B11" s="10" t="n">
        <v>13</v>
      </c>
      <c r="C11" s="10" t="n">
        <v>10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15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3</v>
      </c>
      <c r="G12" s="10" t="n">
        <v>5</v>
      </c>
      <c r="H12" s="10" t="n">
        <v>25</v>
      </c>
      <c r="I12" s="10" t="n">
        <v>29</v>
      </c>
      <c r="J12" s="10" t="n">
        <v>13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78.2</v>
      </c>
      <c r="C14" s="8" t="n">
        <v>71.5</v>
      </c>
      <c r="D14" s="8" t="n">
        <v>77.90000000000001</v>
      </c>
      <c r="E14" s="8" t="n">
        <v>69</v>
      </c>
      <c r="F14" s="8" t="n">
        <v>70.40000000000001</v>
      </c>
      <c r="G14" s="8" t="n">
        <v>65.5</v>
      </c>
      <c r="H14" s="8" t="n">
        <v>54.5</v>
      </c>
      <c r="I14" s="8" t="n">
        <v>52.4</v>
      </c>
      <c r="J14" s="8" t="n">
        <v>55</v>
      </c>
      <c r="K14" s="8" t="n">
        <v>64.59999999999999</v>
      </c>
      <c r="L14" s="8" t="n">
        <v>76.3</v>
      </c>
      <c r="M14" s="8" t="n">
        <v>74.2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183.8</v>
      </c>
      <c r="C16" s="8" t="n">
        <v>172.6</v>
      </c>
      <c r="D16" s="8" t="n">
        <v>216.8</v>
      </c>
      <c r="E16" s="8" t="n">
        <v>330.8</v>
      </c>
      <c r="F16" s="8" t="n">
        <v>386.7</v>
      </c>
      <c r="G16" s="8" t="n">
        <v>366.4</v>
      </c>
      <c r="H16" s="8" t="n">
        <v>422</v>
      </c>
      <c r="I16" s="8" t="n">
        <v>400.3</v>
      </c>
      <c r="J16" s="8" t="n">
        <v>344</v>
      </c>
      <c r="K16" s="8" t="n">
        <v>285.5</v>
      </c>
      <c r="L16" s="8" t="n">
        <v>190.9</v>
      </c>
      <c r="M16" s="8" t="n">
        <v>159.4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4</v>
      </c>
      <c r="D17" s="10" t="n">
        <v>1</v>
      </c>
      <c r="E17" s="10" t="n">
        <v>9</v>
      </c>
      <c r="F17" s="10" t="n">
        <v>3</v>
      </c>
      <c r="G17" s="10" t="n">
        <v>5</v>
      </c>
      <c r="H17" s="10" t="n">
        <v>14</v>
      </c>
      <c r="I17" s="10" t="n">
        <v>11</v>
      </c>
      <c r="J17" s="10" t="n">
        <v>10</v>
      </c>
      <c r="K17" s="10" t="n">
        <v>9</v>
      </c>
      <c r="L17" s="10" t="n">
        <v>4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12</v>
      </c>
      <c r="C18" s="10" t="n">
        <v>12</v>
      </c>
      <c r="D18" s="10" t="n">
        <v>18</v>
      </c>
      <c r="E18" s="10" t="n">
        <v>3</v>
      </c>
      <c r="F18" s="10" t="n">
        <v>4</v>
      </c>
      <c r="G18" s="10" t="n">
        <v>4</v>
      </c>
      <c r="H18" s="10" t="n">
        <v>0</v>
      </c>
      <c r="I18" s="10" t="n">
        <v>0</v>
      </c>
      <c r="J18" s="10" t="n">
        <v>1</v>
      </c>
      <c r="K18" s="10" t="n">
        <v>4</v>
      </c>
      <c r="L18" s="10" t="n">
        <v>11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102.7</v>
      </c>
      <c r="C20" s="8" t="n">
        <v>149.6</v>
      </c>
      <c r="D20" s="8" t="n">
        <v>326.8</v>
      </c>
      <c r="E20" s="8" t="n">
        <v>39.9</v>
      </c>
      <c r="F20" s="8" t="n">
        <v>95</v>
      </c>
      <c r="G20" s="8" t="n">
        <v>64.5</v>
      </c>
      <c r="H20" s="8" t="n">
        <v>26.2</v>
      </c>
      <c r="I20" s="8" t="n">
        <v>49.7</v>
      </c>
      <c r="J20" s="8" t="n">
        <v>30</v>
      </c>
      <c r="K20" s="8" t="n">
        <v>178.9</v>
      </c>
      <c r="L20" s="8" t="n">
        <v>202</v>
      </c>
      <c r="M20" s="8" t="n">
        <v>90.40000000000001</v>
      </c>
      <c r="N20" s="9">
        <f>SUM(B20:M20)</f>
        <v/>
      </c>
    </row>
    <row r="21">
      <c r="A21" s="7" t="inlineStr">
        <is>
          <t>Max. dnevna suma</t>
        </is>
      </c>
      <c r="B21" s="8" t="n">
        <v>15.3</v>
      </c>
      <c r="C21" s="8" t="n">
        <v>24.2</v>
      </c>
      <c r="D21" s="8" t="n">
        <v>45.6</v>
      </c>
      <c r="E21" s="8" t="n">
        <v>19.8</v>
      </c>
      <c r="F21" s="8" t="n">
        <v>15.4</v>
      </c>
      <c r="G21" s="8" t="n">
        <v>18.4</v>
      </c>
      <c r="H21" s="8" t="n">
        <v>11</v>
      </c>
      <c r="I21" s="8" t="n">
        <v>30.5</v>
      </c>
      <c r="J21" s="8" t="n">
        <v>9.300000000000001</v>
      </c>
      <c r="K21" s="8" t="n">
        <v>47</v>
      </c>
      <c r="L21" s="8" t="n">
        <v>61.5</v>
      </c>
      <c r="M21" s="8" t="n">
        <v>33.2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15</v>
      </c>
      <c r="C22" s="10" t="n">
        <v>19</v>
      </c>
      <c r="D22" s="10" t="n">
        <v>28</v>
      </c>
      <c r="E22" s="10" t="n">
        <v>12</v>
      </c>
      <c r="F22" s="10" t="n">
        <v>24</v>
      </c>
      <c r="G22" s="10" t="n">
        <v>20</v>
      </c>
      <c r="H22" s="10" t="n">
        <v>10</v>
      </c>
      <c r="I22" s="10" t="n">
        <v>15</v>
      </c>
      <c r="J22" s="10" t="n">
        <v>10</v>
      </c>
      <c r="K22" s="10" t="n">
        <v>13</v>
      </c>
      <c r="L22" s="10" t="n">
        <v>13</v>
      </c>
      <c r="M22" s="10" t="n">
        <v>13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7</v>
      </c>
      <c r="D23" s="10" t="n">
        <v>13</v>
      </c>
      <c r="E23" s="10" t="n">
        <v>1</v>
      </c>
      <c r="F23" s="10" t="n">
        <v>2</v>
      </c>
      <c r="G23" s="10" t="n">
        <v>3</v>
      </c>
      <c r="H23" s="10" t="n">
        <v>2</v>
      </c>
      <c r="I23" s="10" t="n">
        <v>2</v>
      </c>
      <c r="J23" s="10" t="n">
        <v>0</v>
      </c>
      <c r="K23" s="10" t="n">
        <v>5</v>
      </c>
      <c r="L23" s="10" t="n">
        <v>7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4</v>
      </c>
      <c r="D25" s="10" t="n">
        <v>4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4</v>
      </c>
      <c r="D26" s="10" t="n">
        <v>4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2019.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2.8</v>
      </c>
      <c r="C6" s="8" t="n">
        <v>6.2</v>
      </c>
      <c r="D6" s="8" t="n">
        <v>10</v>
      </c>
      <c r="E6" s="8" t="n">
        <v>13</v>
      </c>
      <c r="F6" s="8" t="n">
        <v>14.4</v>
      </c>
      <c r="G6" s="8" t="n">
        <v>23.8</v>
      </c>
      <c r="H6" s="8" t="n">
        <v>25.2</v>
      </c>
      <c r="I6" s="8" t="n">
        <v>26.4</v>
      </c>
      <c r="J6" s="8" t="n">
        <v>20.6</v>
      </c>
      <c r="K6" s="8" t="n">
        <v>15.6</v>
      </c>
      <c r="L6" s="8" t="n">
        <v>13.2</v>
      </c>
      <c r="M6" s="8" t="n">
        <v>7.6</v>
      </c>
      <c r="N6" s="9">
        <f>AVERAGE(B6:M6)</f>
        <v/>
      </c>
    </row>
    <row r="7">
      <c r="A7" s="7" t="inlineStr">
        <is>
          <t>Srednja maksimalna</t>
        </is>
      </c>
      <c r="B7" s="8" t="n">
        <v>7.1</v>
      </c>
      <c r="C7" s="8" t="n">
        <v>12.1</v>
      </c>
      <c r="D7" s="8" t="n">
        <v>16.3</v>
      </c>
      <c r="E7" s="8" t="n">
        <v>18.6</v>
      </c>
      <c r="F7" s="8" t="n">
        <v>19</v>
      </c>
      <c r="G7" s="8" t="n">
        <v>30.3</v>
      </c>
      <c r="H7" s="8" t="n">
        <v>31.7</v>
      </c>
      <c r="I7" s="8" t="n">
        <v>33.4</v>
      </c>
      <c r="J7" s="8" t="n">
        <v>26.7</v>
      </c>
      <c r="K7" s="8" t="n">
        <v>23</v>
      </c>
      <c r="L7" s="8" t="n">
        <v>17.1</v>
      </c>
      <c r="M7" s="8" t="n">
        <v>12</v>
      </c>
      <c r="N7" s="9">
        <f>AVERAGE(B7:M7)</f>
        <v/>
      </c>
    </row>
    <row r="8">
      <c r="A8" s="7" t="inlineStr">
        <is>
          <t>Srednja minimalna</t>
        </is>
      </c>
      <c r="B8" s="8" t="n">
        <v>-0.9</v>
      </c>
      <c r="C8" s="8" t="n">
        <v>0.9</v>
      </c>
      <c r="D8" s="8" t="n">
        <v>4.6</v>
      </c>
      <c r="E8" s="8" t="n">
        <v>7.9</v>
      </c>
      <c r="F8" s="8" t="n">
        <v>9.699999999999999</v>
      </c>
      <c r="G8" s="8" t="n">
        <v>17.4</v>
      </c>
      <c r="H8" s="8" t="n">
        <v>18.6</v>
      </c>
      <c r="I8" s="8" t="n">
        <v>19.8</v>
      </c>
      <c r="J8" s="8" t="n">
        <v>15.5</v>
      </c>
      <c r="K8" s="8" t="n">
        <v>9.800000000000001</v>
      </c>
      <c r="L8" s="8" t="n">
        <v>9.5</v>
      </c>
      <c r="M8" s="8" t="n">
        <v>3.7</v>
      </c>
      <c r="N8" s="9">
        <f>AVERAGE(B8:M8)</f>
        <v/>
      </c>
    </row>
    <row r="9">
      <c r="A9" s="7" t="inlineStr">
        <is>
          <t>Apsolutni maksimum</t>
        </is>
      </c>
      <c r="B9" s="8" t="n">
        <v>11.1</v>
      </c>
      <c r="C9" s="8" t="n">
        <v>15.9</v>
      </c>
      <c r="D9" s="8" t="n">
        <v>22.2</v>
      </c>
      <c r="E9" s="8" t="n">
        <v>25.5</v>
      </c>
      <c r="F9" s="8" t="n">
        <v>22.6</v>
      </c>
      <c r="G9" s="8" t="n">
        <v>35.7</v>
      </c>
      <c r="H9" s="8" t="n">
        <v>37.4</v>
      </c>
      <c r="I9" s="8" t="n">
        <v>39.1</v>
      </c>
      <c r="J9" s="8" t="n">
        <v>33.4</v>
      </c>
      <c r="K9" s="8" t="n">
        <v>26.5</v>
      </c>
      <c r="L9" s="8" t="n">
        <v>20.1</v>
      </c>
      <c r="M9" s="8" t="n">
        <v>17.5</v>
      </c>
      <c r="N9" s="9">
        <f>MAX(B9:M9)</f>
        <v/>
      </c>
    </row>
    <row r="10">
      <c r="A10" s="7" t="inlineStr">
        <is>
          <t>Apsolutni minimum</t>
        </is>
      </c>
      <c r="B10" s="8" t="n">
        <v>-6.1</v>
      </c>
      <c r="C10" s="8" t="n">
        <v>-3.3</v>
      </c>
      <c r="D10" s="8" t="n">
        <v>-0.9</v>
      </c>
      <c r="E10" s="8" t="n">
        <v>4.3</v>
      </c>
      <c r="F10" s="8" t="n">
        <v>3.5</v>
      </c>
      <c r="G10" s="8" t="n">
        <v>10.5</v>
      </c>
      <c r="H10" s="8" t="n">
        <v>14.3</v>
      </c>
      <c r="I10" s="8" t="n">
        <v>15.7</v>
      </c>
      <c r="J10" s="8" t="n">
        <v>8.4</v>
      </c>
      <c r="K10" s="8" t="n">
        <v>6.9</v>
      </c>
      <c r="L10" s="8" t="n">
        <v>4.3</v>
      </c>
      <c r="M10" s="8" t="n">
        <v>-4.1</v>
      </c>
      <c r="N10" s="9">
        <f>MIN(B10:M10)</f>
        <v/>
      </c>
    </row>
    <row r="11">
      <c r="A11" s="7" t="inlineStr">
        <is>
          <t>Sr. br. mraznih dana</t>
        </is>
      </c>
      <c r="B11" s="10" t="n">
        <v>18</v>
      </c>
      <c r="C11" s="10" t="n">
        <v>12</v>
      </c>
      <c r="D11" s="10" t="n">
        <v>1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21</v>
      </c>
      <c r="H12" s="10" t="n">
        <v>22</v>
      </c>
      <c r="I12" s="10" t="n">
        <v>26</v>
      </c>
      <c r="J12" s="10" t="n">
        <v>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73.5</v>
      </c>
      <c r="C14" s="8" t="n">
        <v>66.59999999999999</v>
      </c>
      <c r="D14" s="8" t="n">
        <v>64.90000000000001</v>
      </c>
      <c r="E14" s="8" t="n">
        <v>72.5</v>
      </c>
      <c r="F14" s="8" t="n">
        <v>77.90000000000001</v>
      </c>
      <c r="G14" s="8" t="n">
        <v>65.09999999999999</v>
      </c>
      <c r="H14" s="8" t="n">
        <v>56.7</v>
      </c>
      <c r="I14" s="8" t="n">
        <v>54.3</v>
      </c>
      <c r="J14" s="8" t="n">
        <v>65.5</v>
      </c>
      <c r="K14" s="8" t="n">
        <v>72.3</v>
      </c>
      <c r="L14" s="8" t="n">
        <v>82.59999999999999</v>
      </c>
      <c r="M14" s="8" t="n">
        <v>74.90000000000001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170.2</v>
      </c>
      <c r="C16" s="8" t="n">
        <v>214.4</v>
      </c>
      <c r="D16" s="8" t="n">
        <v>300</v>
      </c>
      <c r="E16" s="8" t="n">
        <v>281.3</v>
      </c>
      <c r="F16" s="8" t="n">
        <v>306.2</v>
      </c>
      <c r="G16" s="8" t="n">
        <v>393.2</v>
      </c>
      <c r="H16" s="8" t="n">
        <v>404.4</v>
      </c>
      <c r="I16" s="8" t="n">
        <v>406.4</v>
      </c>
      <c r="J16" s="8" t="n">
        <v>319.6</v>
      </c>
      <c r="K16" s="8" t="n">
        <v>315.2</v>
      </c>
      <c r="L16" s="8" t="n">
        <v>182.4</v>
      </c>
      <c r="M16" s="8" t="n">
        <v>191.7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10</v>
      </c>
      <c r="D17" s="10" t="n">
        <v>9</v>
      </c>
      <c r="E17" s="10" t="n">
        <v>7</v>
      </c>
      <c r="F17" s="10" t="n">
        <v>1</v>
      </c>
      <c r="G17" s="10" t="n">
        <v>14</v>
      </c>
      <c r="H17" s="10" t="n">
        <v>16</v>
      </c>
      <c r="I17" s="10" t="n">
        <v>20</v>
      </c>
      <c r="J17" s="10" t="n">
        <v>10</v>
      </c>
      <c r="K17" s="10" t="n">
        <v>16</v>
      </c>
      <c r="L17" s="10" t="n">
        <v>2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5</v>
      </c>
      <c r="D18" s="10" t="n">
        <v>6</v>
      </c>
      <c r="E18" s="10" t="n">
        <v>12</v>
      </c>
      <c r="F18" s="10" t="n">
        <v>9</v>
      </c>
      <c r="G18" s="10" t="n">
        <v>2</v>
      </c>
      <c r="H18" s="10" t="n">
        <v>0</v>
      </c>
      <c r="I18" s="10" t="n">
        <v>0</v>
      </c>
      <c r="J18" s="10" t="n">
        <v>3</v>
      </c>
      <c r="K18" s="10" t="n">
        <v>2</v>
      </c>
      <c r="L18" s="10" t="n">
        <v>12</v>
      </c>
      <c r="M18" s="10" t="n">
        <v>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111.6</v>
      </c>
      <c r="C20" s="8" t="n">
        <v>85.59999999999999</v>
      </c>
      <c r="D20" s="8" t="n">
        <v>55.8</v>
      </c>
      <c r="E20" s="8" t="n">
        <v>232.1</v>
      </c>
      <c r="F20" s="8" t="n">
        <v>214.6</v>
      </c>
      <c r="G20" s="8" t="n">
        <v>9.800000000000001</v>
      </c>
      <c r="H20" s="8" t="n">
        <v>64.59999999999999</v>
      </c>
      <c r="I20" s="8" t="n">
        <v>12.3</v>
      </c>
      <c r="J20" s="8" t="n">
        <v>101.5</v>
      </c>
      <c r="K20" s="8" t="n">
        <v>41.4</v>
      </c>
      <c r="L20" s="8" t="n">
        <v>306.5</v>
      </c>
      <c r="M20" s="8" t="n">
        <v>155.4</v>
      </c>
      <c r="N20" s="9">
        <f>SUM(B20:M20)</f>
        <v/>
      </c>
    </row>
    <row r="21">
      <c r="A21" s="7" t="inlineStr">
        <is>
          <t>Max. dnevna suma</t>
        </is>
      </c>
      <c r="B21" s="8" t="n">
        <v>20.2</v>
      </c>
      <c r="C21" s="8" t="n">
        <v>48.6</v>
      </c>
      <c r="D21" s="8" t="n">
        <v>20.1</v>
      </c>
      <c r="E21" s="8" t="n">
        <v>80.7</v>
      </c>
      <c r="F21" s="8" t="n">
        <v>22.3</v>
      </c>
      <c r="G21" s="8" t="n">
        <v>3</v>
      </c>
      <c r="H21" s="8" t="n">
        <v>36.9</v>
      </c>
      <c r="I21" s="8" t="n">
        <v>9.699999999999999</v>
      </c>
      <c r="J21" s="8" t="n">
        <v>24.6</v>
      </c>
      <c r="K21" s="8" t="n">
        <v>20.7</v>
      </c>
      <c r="L21" s="8" t="n">
        <v>42</v>
      </c>
      <c r="M21" s="8" t="n">
        <v>27.5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17</v>
      </c>
      <c r="C22" s="10" t="n">
        <v>9</v>
      </c>
      <c r="D22" s="10" t="n">
        <v>10</v>
      </c>
      <c r="E22" s="10" t="n">
        <v>21</v>
      </c>
      <c r="F22" s="10" t="n">
        <v>24</v>
      </c>
      <c r="G22" s="10" t="n">
        <v>10</v>
      </c>
      <c r="H22" s="10" t="n">
        <v>6</v>
      </c>
      <c r="I22" s="10" t="n">
        <v>6</v>
      </c>
      <c r="J22" s="10" t="n">
        <v>11</v>
      </c>
      <c r="K22" s="10" t="n">
        <v>5</v>
      </c>
      <c r="L22" s="10" t="n">
        <v>26</v>
      </c>
      <c r="M22" s="10" t="n">
        <v>16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2</v>
      </c>
      <c r="D23" s="10" t="n">
        <v>3</v>
      </c>
      <c r="E23" s="10" t="n">
        <v>7</v>
      </c>
      <c r="F23" s="10" t="n">
        <v>9</v>
      </c>
      <c r="G23" s="10" t="n">
        <v>0</v>
      </c>
      <c r="H23" s="10" t="n">
        <v>3</v>
      </c>
      <c r="I23" s="10" t="n">
        <v>0</v>
      </c>
      <c r="J23" s="10" t="n">
        <v>4</v>
      </c>
      <c r="K23" s="10" t="n">
        <v>2</v>
      </c>
      <c r="L23" s="10" t="n">
        <v>11</v>
      </c>
      <c r="M23" s="10" t="n">
        <v>7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5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5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2020.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3.6</v>
      </c>
      <c r="C6" s="8" t="n">
        <v>7.2</v>
      </c>
      <c r="D6" s="8" t="n">
        <v>9.300000000000001</v>
      </c>
      <c r="E6" s="8" t="n">
        <v>12.8</v>
      </c>
      <c r="F6" s="8" t="n">
        <v>17.3</v>
      </c>
      <c r="G6" s="8" t="n">
        <v>20.2</v>
      </c>
      <c r="H6" s="8" t="n">
        <v>25</v>
      </c>
      <c r="I6" s="8" t="n">
        <v>25.3</v>
      </c>
      <c r="J6" s="8" t="n">
        <v>21.8</v>
      </c>
      <c r="K6" s="8" t="n">
        <v>14.2</v>
      </c>
      <c r="L6" s="8" t="n">
        <v>10.1</v>
      </c>
      <c r="M6" s="8" t="n">
        <v>8.5</v>
      </c>
      <c r="N6" s="9">
        <f>AVERAGE(B6:M6)</f>
        <v/>
      </c>
    </row>
    <row r="7">
      <c r="A7" s="7" t="inlineStr">
        <is>
          <t>Srednja maksimalna</t>
        </is>
      </c>
      <c r="B7" s="8" t="n">
        <v>10.6</v>
      </c>
      <c r="C7" s="8" t="n">
        <v>13.4</v>
      </c>
      <c r="D7" s="8" t="n">
        <v>15</v>
      </c>
      <c r="E7" s="8" t="n">
        <v>19.7</v>
      </c>
      <c r="F7" s="8" t="n">
        <v>23</v>
      </c>
      <c r="G7" s="8" t="n">
        <v>25.7</v>
      </c>
      <c r="H7" s="8" t="n">
        <v>31.9</v>
      </c>
      <c r="I7" s="8" t="n">
        <v>32</v>
      </c>
      <c r="J7" s="8" t="n">
        <v>28.2</v>
      </c>
      <c r="K7" s="8" t="n">
        <v>20</v>
      </c>
      <c r="L7" s="8" t="n">
        <v>16.6</v>
      </c>
      <c r="M7" s="8" t="n">
        <v>12.9</v>
      </c>
      <c r="N7" s="9">
        <f>AVERAGE(B7:M7)</f>
        <v/>
      </c>
    </row>
    <row r="8">
      <c r="A8" s="7" t="inlineStr">
        <is>
          <t>Srednja minimalna</t>
        </is>
      </c>
      <c r="B8" s="8" t="n">
        <v>-1.4</v>
      </c>
      <c r="C8" s="8" t="n">
        <v>2.1</v>
      </c>
      <c r="D8" s="8" t="n">
        <v>4.1</v>
      </c>
      <c r="E8" s="8" t="n">
        <v>6.4</v>
      </c>
      <c r="F8" s="8" t="n">
        <v>11.6</v>
      </c>
      <c r="G8" s="8" t="n">
        <v>14.6</v>
      </c>
      <c r="H8" s="8" t="n">
        <v>18</v>
      </c>
      <c r="I8" s="8" t="n">
        <v>19.2</v>
      </c>
      <c r="J8" s="8" t="n">
        <v>16.2</v>
      </c>
      <c r="K8" s="8" t="n">
        <v>9.5</v>
      </c>
      <c r="L8" s="8" t="n">
        <v>5.4</v>
      </c>
      <c r="M8" s="8" t="n">
        <v>4.8</v>
      </c>
      <c r="N8" s="9">
        <f>AVERAGE(B8:M8)</f>
        <v/>
      </c>
    </row>
    <row r="9">
      <c r="A9" s="7" t="inlineStr">
        <is>
          <t>Apsolutni maksimum</t>
        </is>
      </c>
      <c r="B9" s="8" t="n">
        <v>13.6</v>
      </c>
      <c r="C9" s="8" t="n">
        <v>18</v>
      </c>
      <c r="D9" s="8" t="n">
        <v>20.5</v>
      </c>
      <c r="E9" s="8" t="n">
        <v>24.7</v>
      </c>
      <c r="F9" s="8" t="n">
        <v>29.4</v>
      </c>
      <c r="G9" s="8" t="n">
        <v>33.4</v>
      </c>
      <c r="H9" s="8" t="n">
        <v>38.1</v>
      </c>
      <c r="I9" s="8" t="n">
        <v>37</v>
      </c>
      <c r="J9" s="8" t="n">
        <v>33.7</v>
      </c>
      <c r="K9" s="8" t="n">
        <v>26.8</v>
      </c>
      <c r="L9" s="8" t="n">
        <v>22.1</v>
      </c>
      <c r="M9" s="8" t="n">
        <v>17.8</v>
      </c>
      <c r="N9" s="9">
        <f>MAX(B9:M9)</f>
        <v/>
      </c>
    </row>
    <row r="10">
      <c r="A10" s="7" t="inlineStr">
        <is>
          <t>Apsolutni minimum</t>
        </is>
      </c>
      <c r="B10" s="8" t="n">
        <v>-4.6</v>
      </c>
      <c r="C10" s="8" t="n">
        <v>-2.3</v>
      </c>
      <c r="D10" s="8" t="n">
        <v>0.1</v>
      </c>
      <c r="E10" s="8" t="n">
        <v>-1.1</v>
      </c>
      <c r="F10" s="8" t="n">
        <v>6.3</v>
      </c>
      <c r="G10" s="8" t="n">
        <v>9.1</v>
      </c>
      <c r="H10" s="8" t="n">
        <v>12.7</v>
      </c>
      <c r="I10" s="8" t="n">
        <v>15.7</v>
      </c>
      <c r="J10" s="8" t="n">
        <v>8</v>
      </c>
      <c r="K10" s="8" t="n">
        <v>3.8</v>
      </c>
      <c r="L10" s="8" t="n">
        <v>-0.8</v>
      </c>
      <c r="M10" s="8" t="n">
        <v>-1.7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9</v>
      </c>
      <c r="D11" s="10" t="n">
        <v>0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5</v>
      </c>
      <c r="H12" s="10" t="n">
        <v>23</v>
      </c>
      <c r="I12" s="10" t="n">
        <v>24</v>
      </c>
      <c r="J12" s="10" t="n">
        <v>12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68.7</v>
      </c>
      <c r="C14" s="8" t="n">
        <v>70.7</v>
      </c>
      <c r="D14" s="8" t="n">
        <v>65.09999999999999</v>
      </c>
      <c r="E14" s="8" t="n">
        <v>59.3</v>
      </c>
      <c r="F14" s="8" t="n">
        <v>61.1</v>
      </c>
      <c r="G14" s="8" t="n">
        <v>71</v>
      </c>
      <c r="H14" s="8" t="n">
        <v>52.8</v>
      </c>
      <c r="I14" s="8" t="n">
        <v>60.5</v>
      </c>
      <c r="J14" s="8" t="n">
        <v>63</v>
      </c>
      <c r="K14" s="8" t="n">
        <v>78.40000000000001</v>
      </c>
      <c r="L14" s="8" t="n">
        <v>74.59999999999999</v>
      </c>
      <c r="M14" s="8" t="n">
        <v>81.7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232.6</v>
      </c>
      <c r="C16" s="8" t="n">
        <v>238.4</v>
      </c>
      <c r="D16" s="8" t="n">
        <v>272.7</v>
      </c>
      <c r="E16" s="8" t="n">
        <v>325</v>
      </c>
      <c r="F16" s="8" t="n">
        <v>331.6</v>
      </c>
      <c r="G16" s="8" t="n">
        <v>367.3</v>
      </c>
      <c r="H16" s="8" t="n">
        <v>426.9</v>
      </c>
      <c r="I16" s="8" t="n">
        <v>388.5</v>
      </c>
      <c r="J16" s="8" t="n">
        <v>309.4</v>
      </c>
      <c r="K16" s="8" t="n">
        <v>263.3</v>
      </c>
      <c r="L16" s="8" t="n">
        <v>241.6</v>
      </c>
      <c r="M16" s="8" t="n">
        <v>173.1</v>
      </c>
      <c r="N16" s="9">
        <f>SUM(B16:M16)</f>
        <v/>
      </c>
    </row>
    <row r="17">
      <c r="A17" s="7" t="inlineStr">
        <is>
          <t>Broj vedrih dana</t>
        </is>
      </c>
      <c r="B17" s="10" t="n">
        <v>16</v>
      </c>
      <c r="C17" s="10" t="n">
        <v>6</v>
      </c>
      <c r="D17" s="10" t="n">
        <v>9</v>
      </c>
      <c r="E17" s="10" t="n">
        <v>13</v>
      </c>
      <c r="F17" s="10" t="n">
        <v>4</v>
      </c>
      <c r="G17" s="10" t="n">
        <v>8</v>
      </c>
      <c r="H17" s="10" t="n">
        <v>20</v>
      </c>
      <c r="I17" s="10" t="n">
        <v>17</v>
      </c>
      <c r="J17" s="10" t="n">
        <v>15</v>
      </c>
      <c r="K17" s="10" t="n">
        <v>7</v>
      </c>
      <c r="L17" s="10" t="n">
        <v>9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2</v>
      </c>
      <c r="C18" s="10" t="n">
        <v>4</v>
      </c>
      <c r="D18" s="10" t="n">
        <v>9</v>
      </c>
      <c r="E18" s="10" t="n">
        <v>5</v>
      </c>
      <c r="F18" s="10" t="n">
        <v>8</v>
      </c>
      <c r="G18" s="10" t="n">
        <v>4</v>
      </c>
      <c r="H18" s="10" t="n">
        <v>0</v>
      </c>
      <c r="I18" s="10" t="n">
        <v>0</v>
      </c>
      <c r="J18" s="10" t="n">
        <v>6</v>
      </c>
      <c r="K18" s="10" t="n">
        <v>7</v>
      </c>
      <c r="L18" s="10" t="n">
        <v>5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23.4</v>
      </c>
      <c r="C20" s="8" t="n">
        <v>60.4</v>
      </c>
      <c r="D20" s="8" t="n">
        <v>83.5</v>
      </c>
      <c r="E20" s="8" t="n">
        <v>45.1</v>
      </c>
      <c r="F20" s="8" t="n">
        <v>59.8</v>
      </c>
      <c r="G20" s="8" t="n">
        <v>96.3</v>
      </c>
      <c r="H20" s="8" t="n">
        <v>6.7</v>
      </c>
      <c r="I20" s="8" t="n">
        <v>122.2</v>
      </c>
      <c r="J20" s="8" t="n">
        <v>158</v>
      </c>
      <c r="K20" s="8" t="n">
        <v>219</v>
      </c>
      <c r="L20" s="8" t="n">
        <v>15.6</v>
      </c>
      <c r="M20" s="8" t="n">
        <v>268.6</v>
      </c>
      <c r="N20" s="9">
        <f>SUM(B20:M20)</f>
        <v/>
      </c>
    </row>
    <row r="21">
      <c r="A21" s="7" t="inlineStr">
        <is>
          <t>Max. dnevna suma</t>
        </is>
      </c>
      <c r="B21" s="8" t="n">
        <v>10.9</v>
      </c>
      <c r="C21" s="8" t="n">
        <v>16.4</v>
      </c>
      <c r="D21" s="8" t="n">
        <v>21.6</v>
      </c>
      <c r="E21" s="8" t="n">
        <v>20.8</v>
      </c>
      <c r="F21" s="8" t="n">
        <v>31.1</v>
      </c>
      <c r="G21" s="8" t="n">
        <v>25.4</v>
      </c>
      <c r="H21" s="8" t="n">
        <v>4.9</v>
      </c>
      <c r="I21" s="8" t="n">
        <v>55.5</v>
      </c>
      <c r="J21" s="8" t="n">
        <v>53</v>
      </c>
      <c r="K21" s="8" t="n">
        <v>80.8</v>
      </c>
      <c r="L21" s="8" t="n">
        <v>5.5</v>
      </c>
      <c r="M21" s="8" t="n">
        <v>42.9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10</v>
      </c>
      <c r="D22" s="10" t="n">
        <v>12</v>
      </c>
      <c r="E22" s="10" t="n">
        <v>9</v>
      </c>
      <c r="F22" s="10" t="n">
        <v>13</v>
      </c>
      <c r="G22" s="10" t="n">
        <v>17</v>
      </c>
      <c r="H22" s="10" t="n">
        <v>3</v>
      </c>
      <c r="I22" s="10" t="n">
        <v>9</v>
      </c>
      <c r="J22" s="10" t="n">
        <v>10</v>
      </c>
      <c r="K22" s="10" t="n">
        <v>18</v>
      </c>
      <c r="L22" s="10" t="n">
        <v>9</v>
      </c>
      <c r="M22" s="10" t="n">
        <v>20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3</v>
      </c>
      <c r="D23" s="10" t="n">
        <v>4</v>
      </c>
      <c r="E23" s="10" t="n">
        <v>2</v>
      </c>
      <c r="F23" s="10" t="n">
        <v>1</v>
      </c>
      <c r="G23" s="10" t="n">
        <v>3</v>
      </c>
      <c r="H23" s="10" t="n">
        <v>0</v>
      </c>
      <c r="I23" s="10" t="n">
        <v>4</v>
      </c>
      <c r="J23" s="10" t="n">
        <v>7</v>
      </c>
      <c r="K23" s="10" t="n">
        <v>5</v>
      </c>
      <c r="L23" s="10" t="n">
        <v>0</v>
      </c>
      <c r="M23" s="10" t="n">
        <v>10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1</v>
      </c>
      <c r="D25" s="10" t="n">
        <v>0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1</v>
      </c>
      <c r="D26" s="10" t="n">
        <v>0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2021.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5</v>
      </c>
      <c r="C6" s="8" t="n">
        <v>7.3</v>
      </c>
      <c r="D6" s="8" t="n">
        <v>7.6</v>
      </c>
      <c r="E6" s="8" t="n">
        <v>10.5</v>
      </c>
      <c r="F6" s="8" t="n">
        <v>16.8</v>
      </c>
      <c r="G6" s="8" t="n">
        <v>24</v>
      </c>
      <c r="H6" s="8" t="n">
        <v>27.3</v>
      </c>
      <c r="I6" s="8" t="n">
        <v>26.1</v>
      </c>
      <c r="J6" s="8" t="n">
        <v>20.8</v>
      </c>
      <c r="K6" s="8" t="n">
        <v>13.7</v>
      </c>
      <c r="L6" s="8" t="n">
        <v>12</v>
      </c>
      <c r="M6" s="8" t="n">
        <v>6.9</v>
      </c>
      <c r="N6" s="9">
        <f>AVERAGE(B6:M6)</f>
        <v/>
      </c>
    </row>
    <row r="7">
      <c r="A7" s="7" t="inlineStr">
        <is>
          <t>Srednja maksimalna</t>
        </is>
      </c>
      <c r="B7" s="8" t="n">
        <v>9.1</v>
      </c>
      <c r="C7" s="8" t="n">
        <v>13.2</v>
      </c>
      <c r="D7" s="8" t="n">
        <v>13.6</v>
      </c>
      <c r="E7" s="8" t="n">
        <v>16.3</v>
      </c>
      <c r="F7" s="8" t="n">
        <v>22.4</v>
      </c>
      <c r="G7" s="8" t="n">
        <v>30.8</v>
      </c>
      <c r="H7" s="8" t="n">
        <v>34.1</v>
      </c>
      <c r="I7" s="8" t="n">
        <v>32.9</v>
      </c>
      <c r="J7" s="8" t="n">
        <v>27.9</v>
      </c>
      <c r="K7" s="8" t="n">
        <v>19.9</v>
      </c>
      <c r="L7" s="8" t="n">
        <v>16.5</v>
      </c>
      <c r="M7" s="8" t="n">
        <v>10.8</v>
      </c>
      <c r="N7" s="9">
        <f>AVERAGE(B7:M7)</f>
        <v/>
      </c>
    </row>
    <row r="8">
      <c r="A8" s="7" t="inlineStr">
        <is>
          <t>Srednja minimalna</t>
        </is>
      </c>
      <c r="B8" s="8" t="n">
        <v>1.5</v>
      </c>
      <c r="C8" s="8" t="n">
        <v>2.1</v>
      </c>
      <c r="D8" s="8" t="n">
        <v>2.2</v>
      </c>
      <c r="E8" s="8" t="n">
        <v>5.2</v>
      </c>
      <c r="F8" s="8" t="n">
        <v>11.4</v>
      </c>
      <c r="G8" s="8" t="n">
        <v>17</v>
      </c>
      <c r="H8" s="8" t="n">
        <v>20.5</v>
      </c>
      <c r="I8" s="8" t="n">
        <v>19.6</v>
      </c>
      <c r="J8" s="8" t="n">
        <v>15.1</v>
      </c>
      <c r="K8" s="8" t="n">
        <v>9.1</v>
      </c>
      <c r="L8" s="8" t="n">
        <v>8.5</v>
      </c>
      <c r="M8" s="8" t="n">
        <v>3.2</v>
      </c>
      <c r="N8" s="9">
        <f>AVERAGE(B8:M8)</f>
        <v/>
      </c>
    </row>
    <row r="9">
      <c r="A9" s="7" t="inlineStr">
        <is>
          <t>Apsolutni maksimum</t>
        </is>
      </c>
      <c r="B9" s="8" t="n">
        <v>13.3</v>
      </c>
      <c r="C9" s="8" t="n">
        <v>22.2</v>
      </c>
      <c r="D9" s="8" t="n">
        <v>21.8</v>
      </c>
      <c r="E9" s="8" t="n">
        <v>24</v>
      </c>
      <c r="F9" s="8" t="n">
        <v>29.5</v>
      </c>
      <c r="G9" s="8" t="n">
        <v>37.8</v>
      </c>
      <c r="H9" s="8" t="n">
        <v>39.6</v>
      </c>
      <c r="I9" s="8" t="n">
        <v>39.2</v>
      </c>
      <c r="J9" s="8" t="n">
        <v>32.3</v>
      </c>
      <c r="K9" s="8" t="n">
        <v>26.1</v>
      </c>
      <c r="L9" s="8" t="n">
        <v>23.3</v>
      </c>
      <c r="M9" s="8" t="n">
        <v>17.2</v>
      </c>
      <c r="N9" s="9">
        <f>MAX(B9:M9)</f>
        <v/>
      </c>
    </row>
    <row r="10">
      <c r="A10" s="7" t="inlineStr">
        <is>
          <t>Apsolutni minimum</t>
        </is>
      </c>
      <c r="B10" s="8" t="n">
        <v>-6.2</v>
      </c>
      <c r="C10" s="8" t="n">
        <v>-6.1</v>
      </c>
      <c r="D10" s="8" t="n">
        <v>-1.8</v>
      </c>
      <c r="E10" s="8" t="n">
        <v>-0.9</v>
      </c>
      <c r="F10" s="8" t="n">
        <v>6.9</v>
      </c>
      <c r="G10" s="8" t="n">
        <v>9.699999999999999</v>
      </c>
      <c r="H10" s="8" t="n">
        <v>17.8</v>
      </c>
      <c r="I10" s="8" t="n">
        <v>12.7</v>
      </c>
      <c r="J10" s="8" t="n">
        <v>9.6</v>
      </c>
      <c r="K10" s="8" t="n">
        <v>4.3</v>
      </c>
      <c r="L10" s="8" t="n">
        <v>1.2</v>
      </c>
      <c r="M10" s="8" t="n">
        <v>-3.8</v>
      </c>
      <c r="N10" s="9">
        <f>MIN(B10:M10)</f>
        <v/>
      </c>
    </row>
    <row r="11">
      <c r="A11" s="7" t="inlineStr">
        <is>
          <t>Sr. br. mraznih dana</t>
        </is>
      </c>
      <c r="B11" s="10" t="n">
        <v>11</v>
      </c>
      <c r="C11" s="10" t="n">
        <v>8</v>
      </c>
      <c r="D11" s="10" t="n">
        <v>10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17</v>
      </c>
      <c r="H12" s="10" t="n">
        <v>30</v>
      </c>
      <c r="I12" s="10" t="n">
        <v>23</v>
      </c>
      <c r="J12" s="10" t="n">
        <v>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77.2</v>
      </c>
      <c r="C14" s="8" t="n">
        <v>71.8</v>
      </c>
      <c r="D14" s="8" t="n">
        <v>64.59999999999999</v>
      </c>
      <c r="E14" s="8" t="n">
        <v>67</v>
      </c>
      <c r="F14" s="8" t="n">
        <v>66.3</v>
      </c>
      <c r="G14" s="8" t="n">
        <v>51.5</v>
      </c>
      <c r="H14" s="8" t="n">
        <v>46.8</v>
      </c>
      <c r="I14" s="8" t="n">
        <v>49.4</v>
      </c>
      <c r="J14" s="8" t="n">
        <v>59.6</v>
      </c>
      <c r="K14" s="8" t="n">
        <v>66.8</v>
      </c>
      <c r="L14" s="8" t="n">
        <v>80.59999999999999</v>
      </c>
      <c r="M14" s="8" t="n">
        <v>74.90000000000001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171.3</v>
      </c>
      <c r="C16" s="8" t="n">
        <v>206.6</v>
      </c>
      <c r="D16" s="8" t="n">
        <v>304.6</v>
      </c>
      <c r="E16" s="8" t="n">
        <v>311.6</v>
      </c>
      <c r="F16" s="8" t="n">
        <v>367</v>
      </c>
      <c r="G16" s="8" t="n">
        <v>411.8</v>
      </c>
      <c r="H16" s="8" t="n">
        <v>419</v>
      </c>
      <c r="I16" s="8" t="n">
        <v>397.4</v>
      </c>
      <c r="J16" s="8" t="n">
        <v>339.4</v>
      </c>
      <c r="K16" s="8" t="n">
        <v>268.3</v>
      </c>
      <c r="L16" s="8" t="n">
        <v>147.6</v>
      </c>
      <c r="M16" s="8" t="n">
        <v>160.1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10</v>
      </c>
      <c r="D17" s="10" t="n">
        <v>9</v>
      </c>
      <c r="E17" s="10" t="n">
        <v>5</v>
      </c>
      <c r="F17" s="10" t="n">
        <v>5</v>
      </c>
      <c r="G17" s="10" t="n">
        <v>14</v>
      </c>
      <c r="H17" s="10" t="n">
        <v>18</v>
      </c>
      <c r="I17" s="10" t="n">
        <v>19</v>
      </c>
      <c r="J17" s="10" t="n">
        <v>11</v>
      </c>
      <c r="K17" s="10" t="n">
        <v>9</v>
      </c>
      <c r="L17" s="10" t="n">
        <v>1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8</v>
      </c>
      <c r="D18" s="10" t="n">
        <v>6</v>
      </c>
      <c r="E18" s="10" t="n">
        <v>8</v>
      </c>
      <c r="F18" s="10" t="n">
        <v>3</v>
      </c>
      <c r="G18" s="10" t="n">
        <v>1</v>
      </c>
      <c r="H18" s="10" t="n">
        <v>0</v>
      </c>
      <c r="I18" s="10" t="n">
        <v>2</v>
      </c>
      <c r="J18" s="10" t="n">
        <v>1</v>
      </c>
      <c r="K18" s="10" t="n">
        <v>8</v>
      </c>
      <c r="L18" s="10" t="n">
        <v>17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232.1</v>
      </c>
      <c r="C20" s="8" t="n">
        <v>85.2</v>
      </c>
      <c r="D20" s="8" t="n">
        <v>42.4</v>
      </c>
      <c r="E20" s="8" t="n">
        <v>99.09999999999999</v>
      </c>
      <c r="F20" s="8" t="n">
        <v>64</v>
      </c>
      <c r="G20" s="8" t="n">
        <v>1.8</v>
      </c>
      <c r="H20" s="8" t="n">
        <v>13.9</v>
      </c>
      <c r="I20" s="8" t="n">
        <v>64.8</v>
      </c>
      <c r="J20" s="8" t="n">
        <v>29.1</v>
      </c>
      <c r="K20" s="8" t="n">
        <v>158.8</v>
      </c>
      <c r="L20" s="8" t="n">
        <v>464.7</v>
      </c>
      <c r="M20" s="8" t="n">
        <v>236.6</v>
      </c>
      <c r="N20" s="9">
        <f>SUM(B20:M20)</f>
        <v/>
      </c>
    </row>
    <row r="21">
      <c r="A21" s="7" t="inlineStr">
        <is>
          <t>Max. dnevna suma</t>
        </is>
      </c>
      <c r="B21" s="8" t="n">
        <v>29.6</v>
      </c>
      <c r="C21" s="8" t="n">
        <v>22.4</v>
      </c>
      <c r="D21" s="8" t="n">
        <v>15.1</v>
      </c>
      <c r="E21" s="8" t="n">
        <v>31.1</v>
      </c>
      <c r="F21" s="8" t="n">
        <v>13.3</v>
      </c>
      <c r="G21" s="8" t="n">
        <v>1</v>
      </c>
      <c r="H21" s="8" t="n">
        <v>7.1</v>
      </c>
      <c r="I21" s="8" t="n">
        <v>34.5</v>
      </c>
      <c r="J21" s="8" t="n">
        <v>12.9</v>
      </c>
      <c r="K21" s="8" t="n">
        <v>42.8</v>
      </c>
      <c r="L21" s="8" t="n">
        <v>80.90000000000001</v>
      </c>
      <c r="M21" s="8" t="n">
        <v>59.5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26</v>
      </c>
      <c r="C22" s="10" t="n">
        <v>11</v>
      </c>
      <c r="D22" s="10" t="n">
        <v>10</v>
      </c>
      <c r="E22" s="10" t="n">
        <v>18</v>
      </c>
      <c r="F22" s="10" t="n">
        <v>17</v>
      </c>
      <c r="G22" s="10" t="n">
        <v>3</v>
      </c>
      <c r="H22" s="10" t="n">
        <v>6</v>
      </c>
      <c r="I22" s="10" t="n">
        <v>9</v>
      </c>
      <c r="J22" s="10" t="n">
        <v>9</v>
      </c>
      <c r="K22" s="10" t="n">
        <v>13</v>
      </c>
      <c r="L22" s="10" t="n">
        <v>21</v>
      </c>
      <c r="M22" s="10" t="n">
        <v>16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4</v>
      </c>
      <c r="D23" s="10" t="n">
        <v>1</v>
      </c>
      <c r="E23" s="10" t="n">
        <v>4</v>
      </c>
      <c r="F23" s="10" t="n">
        <v>2</v>
      </c>
      <c r="G23" s="10" t="n">
        <v>0</v>
      </c>
      <c r="H23" s="10" t="n">
        <v>0</v>
      </c>
      <c r="I23" s="10" t="n">
        <v>2</v>
      </c>
      <c r="J23" s="10" t="n">
        <v>1</v>
      </c>
      <c r="K23" s="10" t="n">
        <v>5</v>
      </c>
      <c r="L23" s="10" t="n">
        <v>14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2022.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4.2</v>
      </c>
      <c r="C6" s="8" t="n">
        <v>6.8</v>
      </c>
      <c r="D6" s="8" t="n">
        <v>7</v>
      </c>
      <c r="E6" s="8" t="n">
        <v>11.8</v>
      </c>
      <c r="F6" s="8" t="n">
        <v>19</v>
      </c>
      <c r="G6" s="8" t="n">
        <v>25.2</v>
      </c>
      <c r="H6" s="8" t="n">
        <v>27.9</v>
      </c>
      <c r="I6" s="8" t="n">
        <v>26.5</v>
      </c>
      <c r="J6" s="8" t="n">
        <v>19.3</v>
      </c>
      <c r="K6" s="8" t="n">
        <v>16.1</v>
      </c>
      <c r="L6" s="8" t="n">
        <v>11.4</v>
      </c>
      <c r="M6" s="8" t="n">
        <v>9.4</v>
      </c>
      <c r="N6" s="9">
        <f>AVERAGE(B6:M6)</f>
        <v/>
      </c>
    </row>
    <row r="7">
      <c r="A7" s="7" t="inlineStr">
        <is>
          <t>Srednja maksimalna</t>
        </is>
      </c>
      <c r="B7" s="8" t="n">
        <v>10</v>
      </c>
      <c r="C7" s="8" t="n">
        <v>12.9</v>
      </c>
      <c r="D7" s="8" t="n">
        <v>13.8</v>
      </c>
      <c r="E7" s="8" t="n">
        <v>17.6</v>
      </c>
      <c r="F7" s="8" t="n">
        <v>25.8</v>
      </c>
      <c r="G7" s="8" t="n">
        <v>31.8</v>
      </c>
      <c r="H7" s="8" t="n">
        <v>35</v>
      </c>
      <c r="I7" s="8" t="n">
        <v>33.5</v>
      </c>
      <c r="J7" s="8" t="n">
        <v>25.5</v>
      </c>
      <c r="K7" s="8" t="n">
        <v>23.9</v>
      </c>
      <c r="L7" s="8" t="n">
        <v>16.4</v>
      </c>
      <c r="M7" s="8" t="n">
        <v>13.5</v>
      </c>
      <c r="N7" s="9">
        <f>AVERAGE(B7:M7)</f>
        <v/>
      </c>
    </row>
    <row r="8">
      <c r="A8" s="7" t="inlineStr">
        <is>
          <t>Srednja minimalna</t>
        </is>
      </c>
      <c r="B8" s="8" t="n">
        <v>-0.5</v>
      </c>
      <c r="C8" s="8" t="n">
        <v>1.9</v>
      </c>
      <c r="D8" s="8" t="n">
        <v>1.2</v>
      </c>
      <c r="E8" s="8" t="n">
        <v>6.5</v>
      </c>
      <c r="F8" s="8" t="n">
        <v>12.7</v>
      </c>
      <c r="G8" s="8" t="n">
        <v>18.7</v>
      </c>
      <c r="H8" s="8" t="n">
        <v>20.8</v>
      </c>
      <c r="I8" s="8" t="n">
        <v>20.1</v>
      </c>
      <c r="J8" s="8" t="n">
        <v>14.3</v>
      </c>
      <c r="K8" s="8" t="n">
        <v>10.3</v>
      </c>
      <c r="L8" s="8" t="n">
        <v>7.2</v>
      </c>
      <c r="M8" s="8" t="n">
        <v>5.9</v>
      </c>
      <c r="N8" s="9">
        <f>AVERAGE(B8:M8)</f>
        <v/>
      </c>
    </row>
    <row r="9">
      <c r="A9" s="7" t="inlineStr">
        <is>
          <t>Apsolutni maksimum</t>
        </is>
      </c>
      <c r="B9" s="8" t="n">
        <v>18</v>
      </c>
      <c r="C9" s="8" t="n">
        <v>16.3</v>
      </c>
      <c r="D9" s="8" t="n">
        <v>22.4</v>
      </c>
      <c r="E9" s="8" t="n">
        <v>23.4</v>
      </c>
      <c r="F9" s="8" t="n">
        <v>32.1</v>
      </c>
      <c r="G9" s="8" t="n">
        <v>38.6</v>
      </c>
      <c r="H9" s="8" t="n">
        <v>39.5</v>
      </c>
      <c r="I9" s="8" t="n">
        <v>40.4</v>
      </c>
      <c r="J9" s="8" t="n">
        <v>32.6</v>
      </c>
      <c r="K9" s="8" t="n">
        <v>27.8</v>
      </c>
      <c r="L9" s="8" t="n">
        <v>25.9</v>
      </c>
      <c r="M9" s="8" t="n">
        <v>17.1</v>
      </c>
      <c r="N9" s="9">
        <f>MAX(B9:M9)</f>
        <v/>
      </c>
    </row>
    <row r="10">
      <c r="A10" s="7" t="inlineStr">
        <is>
          <t>Apsolutni minimum</t>
        </is>
      </c>
      <c r="B10" s="8" t="n">
        <v>-5.6</v>
      </c>
      <c r="C10" s="8" t="n">
        <v>-3.5</v>
      </c>
      <c r="D10" s="8" t="n">
        <v>-4.9</v>
      </c>
      <c r="E10" s="8" t="n">
        <v>0.4</v>
      </c>
      <c r="F10" s="8" t="n">
        <v>6.7</v>
      </c>
      <c r="G10" s="8" t="n">
        <v>15.1</v>
      </c>
      <c r="H10" s="8" t="n">
        <v>16.9</v>
      </c>
      <c r="I10" s="8" t="n">
        <v>15.2</v>
      </c>
      <c r="J10" s="8" t="n">
        <v>6.6</v>
      </c>
      <c r="K10" s="8" t="n">
        <v>6.6</v>
      </c>
      <c r="L10" s="8" t="n">
        <v>0.5</v>
      </c>
      <c r="M10" s="8" t="n">
        <v>-0.2</v>
      </c>
      <c r="N10" s="9">
        <f>MIN(B10:M10)</f>
        <v/>
      </c>
    </row>
    <row r="11">
      <c r="A11" s="7" t="inlineStr">
        <is>
          <t>Sr. br. mraznih dana</t>
        </is>
      </c>
      <c r="B11" s="10" t="n">
        <v>20</v>
      </c>
      <c r="C11" s="10" t="n">
        <v>7</v>
      </c>
      <c r="D11" s="10" t="n">
        <v>10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3</v>
      </c>
      <c r="G12" s="10" t="n">
        <v>24</v>
      </c>
      <c r="H12" s="10" t="n">
        <v>26</v>
      </c>
      <c r="I12" s="10" t="n">
        <v>27</v>
      </c>
      <c r="J12" s="10" t="n">
        <v>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67.3</v>
      </c>
      <c r="C14" s="8" t="n">
        <v>71.5</v>
      </c>
      <c r="D14" s="8" t="n">
        <v>57.8</v>
      </c>
      <c r="E14" s="8" t="n">
        <v>68</v>
      </c>
      <c r="F14" s="8" t="n">
        <v>66.40000000000001</v>
      </c>
      <c r="G14" s="8" t="n">
        <v>56.2</v>
      </c>
      <c r="H14" s="8" t="n">
        <v>40.3</v>
      </c>
      <c r="I14" s="8" t="n">
        <v>50.5</v>
      </c>
      <c r="J14" s="8" t="n">
        <v>66.3</v>
      </c>
      <c r="K14" s="8" t="n">
        <v>71</v>
      </c>
      <c r="L14" s="8" t="n">
        <v>78.09999999999999</v>
      </c>
      <c r="M14" s="8" t="n">
        <v>85.5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222.5</v>
      </c>
      <c r="C16" s="8" t="n">
        <v>210.2</v>
      </c>
      <c r="D16" s="8" t="n">
        <v>304</v>
      </c>
      <c r="E16" s="8" t="n">
        <v>304.1</v>
      </c>
      <c r="F16" s="8" t="n">
        <v>381.1</v>
      </c>
      <c r="G16" s="8" t="n">
        <v>400.2</v>
      </c>
      <c r="H16" s="8" t="n">
        <v>416.4</v>
      </c>
      <c r="I16" s="8" t="n">
        <v>384.7</v>
      </c>
      <c r="J16" s="8" t="n">
        <v>282</v>
      </c>
      <c r="K16" s="8" t="n">
        <v>300.2</v>
      </c>
      <c r="L16" s="8" t="n">
        <v>172.6</v>
      </c>
      <c r="M16" s="8" t="n">
        <v>151.2</v>
      </c>
      <c r="N16" s="9">
        <f>SUM(B16:M16)</f>
        <v/>
      </c>
    </row>
    <row r="17">
      <c r="A17" s="7" t="inlineStr">
        <is>
          <t>Broj vedrih dana</t>
        </is>
      </c>
      <c r="B17" s="10" t="n">
        <v>10</v>
      </c>
      <c r="C17" s="10" t="n">
        <v>6</v>
      </c>
      <c r="D17" s="10" t="n">
        <v>15</v>
      </c>
      <c r="E17" s="10" t="n">
        <v>8</v>
      </c>
      <c r="F17" s="10" t="n">
        <v>6</v>
      </c>
      <c r="G17" s="10" t="n">
        <v>13</v>
      </c>
      <c r="H17" s="10" t="n">
        <v>24</v>
      </c>
      <c r="I17" s="10" t="n">
        <v>10</v>
      </c>
      <c r="J17" s="10" t="n">
        <v>8</v>
      </c>
      <c r="K17" s="10" t="n">
        <v>12</v>
      </c>
      <c r="L17" s="10" t="n">
        <v>2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8</v>
      </c>
      <c r="C18" s="10" t="n">
        <v>9</v>
      </c>
      <c r="D18" s="10" t="n">
        <v>7</v>
      </c>
      <c r="E18" s="10" t="n">
        <v>7</v>
      </c>
      <c r="F18" s="10" t="n">
        <v>2</v>
      </c>
      <c r="G18" s="10" t="n">
        <v>1</v>
      </c>
      <c r="H18" s="10" t="n">
        <v>1</v>
      </c>
      <c r="I18" s="10" t="n">
        <v>2</v>
      </c>
      <c r="J18" s="10" t="n">
        <v>8</v>
      </c>
      <c r="K18" s="10" t="n">
        <v>9</v>
      </c>
      <c r="L18" s="10" t="n">
        <v>13</v>
      </c>
      <c r="M18" s="10" t="n">
        <v>16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32.7</v>
      </c>
      <c r="C20" s="8" t="n">
        <v>122.6</v>
      </c>
      <c r="D20" s="8" t="n">
        <v>47.5</v>
      </c>
      <c r="E20" s="8" t="n">
        <v>199.6</v>
      </c>
      <c r="F20" s="8" t="n">
        <v>75.09999999999999</v>
      </c>
      <c r="G20" s="8" t="n">
        <v>56.6</v>
      </c>
      <c r="H20" s="8" t="n">
        <v>23.9</v>
      </c>
      <c r="I20" s="8" t="n">
        <v>41.6</v>
      </c>
      <c r="J20" s="8" t="n">
        <v>492.6</v>
      </c>
      <c r="K20" s="8" t="n">
        <v>24.8</v>
      </c>
      <c r="L20" s="8" t="n">
        <v>301</v>
      </c>
      <c r="M20" s="8" t="n">
        <v>330.7</v>
      </c>
      <c r="N20" s="9">
        <f>SUM(B20:M20)</f>
        <v/>
      </c>
    </row>
    <row r="21">
      <c r="A21" s="7" t="inlineStr">
        <is>
          <t>Max. dnevna suma</t>
        </is>
      </c>
      <c r="B21" s="8" t="n">
        <v>17.2</v>
      </c>
      <c r="C21" s="8" t="n">
        <v>33.1</v>
      </c>
      <c r="D21" s="8" t="n">
        <v>35.9</v>
      </c>
      <c r="E21" s="8" t="n">
        <v>72.09999999999999</v>
      </c>
      <c r="F21" s="8" t="n">
        <v>21.6</v>
      </c>
      <c r="G21" s="8" t="n">
        <v>43.4</v>
      </c>
      <c r="H21" s="8" t="n">
        <v>13.4</v>
      </c>
      <c r="I21" s="8" t="n">
        <v>20.1</v>
      </c>
      <c r="J21" s="8" t="n">
        <v>114.1</v>
      </c>
      <c r="K21" s="8" t="n">
        <v>16.8</v>
      </c>
      <c r="L21" s="8" t="n">
        <v>58.5</v>
      </c>
      <c r="M21" s="8" t="n">
        <v>60.3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12</v>
      </c>
      <c r="D22" s="10" t="n">
        <v>6</v>
      </c>
      <c r="E22" s="10" t="n">
        <v>17</v>
      </c>
      <c r="F22" s="10" t="n">
        <v>15</v>
      </c>
      <c r="G22" s="10" t="n">
        <v>9</v>
      </c>
      <c r="H22" s="10" t="n">
        <v>4</v>
      </c>
      <c r="I22" s="10" t="n">
        <v>12</v>
      </c>
      <c r="J22" s="10" t="n">
        <v>17</v>
      </c>
      <c r="K22" s="10" t="n">
        <v>3</v>
      </c>
      <c r="L22" s="10" t="n">
        <v>13</v>
      </c>
      <c r="M22" s="10" t="n">
        <v>21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5</v>
      </c>
      <c r="D23" s="10" t="n">
        <v>2</v>
      </c>
      <c r="E23" s="10" t="n">
        <v>6</v>
      </c>
      <c r="F23" s="10" t="n">
        <v>4</v>
      </c>
      <c r="G23" s="10" t="n">
        <v>1</v>
      </c>
      <c r="H23" s="10" t="n">
        <v>1</v>
      </c>
      <c r="I23" s="10" t="n">
        <v>1</v>
      </c>
      <c r="J23" s="10" t="n">
        <v>7</v>
      </c>
      <c r="K23" s="10" t="n">
        <v>1</v>
      </c>
      <c r="L23" s="10" t="n">
        <v>9</v>
      </c>
      <c r="M23" s="10" t="n">
        <v>10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3</v>
      </c>
      <c r="D25" s="10" t="n">
        <v>2</v>
      </c>
      <c r="E25" s="10" t="n">
        <v>2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3</v>
      </c>
      <c r="D26" s="10" t="n">
        <v>2</v>
      </c>
      <c r="E26" s="10" t="n">
        <v>2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2023.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6.5</v>
      </c>
      <c r="C6" s="8" t="n">
        <v>5.3</v>
      </c>
      <c r="D6" s="8" t="n">
        <v>9.5</v>
      </c>
      <c r="E6" s="8" t="n">
        <v>11.5</v>
      </c>
      <c r="F6" s="8" t="n">
        <v>17.9</v>
      </c>
      <c r="G6" s="8" t="n">
        <v>22.1</v>
      </c>
      <c r="H6" s="8" t="n">
        <v>26.6</v>
      </c>
      <c r="I6" s="8" t="n">
        <v>25.2</v>
      </c>
      <c r="J6" s="8" t="n">
        <v>22.3</v>
      </c>
      <c r="K6" s="8" t="n">
        <v>17.9</v>
      </c>
      <c r="L6" s="8" t="n">
        <v>10.8</v>
      </c>
      <c r="M6" s="8" t="n">
        <v>7.8</v>
      </c>
      <c r="N6" s="9">
        <f>AVERAGE(B6:M6)</f>
        <v/>
      </c>
    </row>
    <row r="7">
      <c r="A7" s="7" t="inlineStr">
        <is>
          <t>Srednja maksimalna</t>
        </is>
      </c>
      <c r="B7" s="8" t="n">
        <v>11.6</v>
      </c>
      <c r="C7" s="8" t="n">
        <v>11.7</v>
      </c>
      <c r="D7" s="8" t="n">
        <v>15.6</v>
      </c>
      <c r="E7" s="8" t="n">
        <v>17.2</v>
      </c>
      <c r="F7" s="8" t="n">
        <v>23.4</v>
      </c>
      <c r="G7" s="8" t="n">
        <v>27.9</v>
      </c>
      <c r="H7" s="8" t="n">
        <v>33.6</v>
      </c>
      <c r="I7" s="8" t="n">
        <v>31.8</v>
      </c>
      <c r="J7" s="8" t="n">
        <v>29.3</v>
      </c>
      <c r="K7" s="8" t="n">
        <v>24.3</v>
      </c>
      <c r="L7" s="8" t="n">
        <v>15.2</v>
      </c>
      <c r="M7" s="8" t="n">
        <v>12.7</v>
      </c>
      <c r="N7" s="9">
        <f>AVERAGE(B7:M7)</f>
        <v/>
      </c>
    </row>
    <row r="8">
      <c r="A8" s="7" t="inlineStr">
        <is>
          <t>Srednja minimalna</t>
        </is>
      </c>
      <c r="B8" s="8" t="n">
        <v>2.8</v>
      </c>
      <c r="C8" s="8" t="n">
        <v>0.4</v>
      </c>
      <c r="D8" s="8" t="n">
        <v>4.3</v>
      </c>
      <c r="E8" s="8" t="n">
        <v>6.5</v>
      </c>
      <c r="F8" s="8" t="n">
        <v>13.1</v>
      </c>
      <c r="G8" s="8" t="n">
        <v>16.8</v>
      </c>
      <c r="H8" s="8" t="n">
        <v>19.9</v>
      </c>
      <c r="I8" s="8" t="n">
        <v>19.2</v>
      </c>
      <c r="J8" s="8" t="n">
        <v>16.9</v>
      </c>
      <c r="K8" s="8" t="n">
        <v>12.9</v>
      </c>
      <c r="L8" s="8" t="n">
        <v>6.5</v>
      </c>
      <c r="M8" s="8" t="n">
        <v>3.7</v>
      </c>
      <c r="N8" s="9">
        <f>AVERAGE(B8:M8)</f>
        <v/>
      </c>
    </row>
    <row r="9">
      <c r="A9" s="7" t="inlineStr">
        <is>
          <t>Apsolutni maksimum</t>
        </is>
      </c>
      <c r="B9" s="8" t="n">
        <v>15.2</v>
      </c>
      <c r="C9" s="8" t="n">
        <v>17</v>
      </c>
      <c r="D9" s="8" t="n">
        <v>21.1</v>
      </c>
      <c r="E9" s="8" t="n">
        <v>23.1</v>
      </c>
      <c r="F9" s="8" t="n">
        <v>27.7</v>
      </c>
      <c r="G9" s="8" t="n">
        <v>34.2</v>
      </c>
      <c r="H9" s="8" t="n">
        <v>39.2</v>
      </c>
      <c r="I9" s="8" t="n">
        <v>39.2</v>
      </c>
      <c r="J9" s="8" t="n">
        <v>32.5</v>
      </c>
      <c r="K9" s="8" t="n">
        <v>28.3</v>
      </c>
      <c r="L9" s="8" t="n">
        <v>20.5</v>
      </c>
      <c r="M9" s="8" t="n">
        <v>19</v>
      </c>
      <c r="N9" s="9">
        <f>MAX(B9:M9)</f>
        <v/>
      </c>
    </row>
    <row r="10">
      <c r="A10" s="7" t="inlineStr">
        <is>
          <t>Apsolutni minimum</t>
        </is>
      </c>
      <c r="B10" s="8" t="n">
        <v>-2.8</v>
      </c>
      <c r="C10" s="8" t="n">
        <v>-5</v>
      </c>
      <c r="D10" s="8" t="n">
        <v>-0.4</v>
      </c>
      <c r="E10" s="8" t="n">
        <v>-0.2</v>
      </c>
      <c r="F10" s="8" t="n">
        <v>10.1</v>
      </c>
      <c r="G10" s="8" t="n">
        <v>13.4</v>
      </c>
      <c r="H10" s="8" t="n">
        <v>16.2</v>
      </c>
      <c r="I10" s="8" t="n">
        <v>13.9</v>
      </c>
      <c r="J10" s="8" t="n">
        <v>13</v>
      </c>
      <c r="K10" s="8" t="n">
        <v>7.1</v>
      </c>
      <c r="L10" s="8" t="n">
        <v>-2.6</v>
      </c>
      <c r="M10" s="8" t="n">
        <v>-1.7</v>
      </c>
      <c r="N10" s="9">
        <f>MIN(B10:M10)</f>
        <v/>
      </c>
    </row>
    <row r="11">
      <c r="A11" s="7" t="inlineStr">
        <is>
          <t>Sr. br. mraznih dana</t>
        </is>
      </c>
      <c r="B11" s="10" t="n">
        <v>3</v>
      </c>
      <c r="C11" s="10" t="n">
        <v>13</v>
      </c>
      <c r="D11" s="10" t="n">
        <v>1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8</v>
      </c>
      <c r="H12" s="10" t="n">
        <v>27</v>
      </c>
      <c r="I12" s="10" t="n">
        <v>20</v>
      </c>
      <c r="J12" s="10" t="n">
        <v>14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78.5</v>
      </c>
      <c r="C14" s="8" t="n">
        <v>70.90000000000001</v>
      </c>
      <c r="D14" s="8" t="n">
        <v>71</v>
      </c>
      <c r="E14" s="8" t="n">
        <v>69.09999999999999</v>
      </c>
      <c r="F14" s="8" t="n">
        <v>72.2</v>
      </c>
      <c r="G14" s="8" t="n">
        <v>68.8</v>
      </c>
      <c r="H14" s="8" t="n">
        <v>56.5</v>
      </c>
      <c r="I14" s="8" t="n">
        <v>58.7</v>
      </c>
      <c r="J14" s="8" t="n">
        <v>62.6</v>
      </c>
      <c r="K14" s="8" t="n">
        <v>72.7</v>
      </c>
      <c r="L14" s="8" t="n">
        <v>80</v>
      </c>
      <c r="M14" s="8" t="n">
        <v>80.5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196.2</v>
      </c>
      <c r="C16" s="8" t="n">
        <v>236</v>
      </c>
      <c r="D16" s="8" t="n">
        <v>291.2</v>
      </c>
      <c r="E16" s="8" t="n">
        <v>296.1</v>
      </c>
      <c r="F16" s="8" t="n">
        <v>336.3</v>
      </c>
      <c r="G16" s="8" t="n">
        <v>365.9</v>
      </c>
      <c r="H16" s="8" t="n">
        <v>423.4</v>
      </c>
      <c r="I16" s="8" t="n">
        <v>400.8</v>
      </c>
      <c r="J16" s="8" t="n">
        <v>326.4</v>
      </c>
      <c r="K16" s="8" t="n">
        <v>277.7</v>
      </c>
      <c r="L16" s="8" t="n">
        <v>163.3</v>
      </c>
      <c r="M16" s="8" t="n">
        <v>186</v>
      </c>
      <c r="N16" s="9">
        <f>SUM(B16:M16)</f>
        <v/>
      </c>
    </row>
    <row r="17">
      <c r="A17" s="7" t="inlineStr">
        <is>
          <t>Broj vedrih dana</t>
        </is>
      </c>
      <c r="B17" s="10" t="n">
        <v>4</v>
      </c>
      <c r="C17" s="10" t="n">
        <v>7</v>
      </c>
      <c r="D17" s="10" t="n">
        <v>3</v>
      </c>
      <c r="E17" s="10" t="n">
        <v>1</v>
      </c>
      <c r="F17" s="10" t="n">
        <v>3</v>
      </c>
      <c r="G17" s="10" t="n">
        <v>8</v>
      </c>
      <c r="H17" s="10" t="n">
        <v>24</v>
      </c>
      <c r="I17" s="10" t="n">
        <v>17</v>
      </c>
      <c r="J17" s="10" t="n">
        <v>15</v>
      </c>
      <c r="K17" s="10" t="n">
        <v>9</v>
      </c>
      <c r="L17" s="10" t="n">
        <v>2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5</v>
      </c>
      <c r="D18" s="10" t="n">
        <v>7</v>
      </c>
      <c r="E18" s="10" t="n">
        <v>9</v>
      </c>
      <c r="F18" s="10" t="n">
        <v>8</v>
      </c>
      <c r="G18" s="10" t="n">
        <v>6</v>
      </c>
      <c r="H18" s="10" t="n">
        <v>0</v>
      </c>
      <c r="I18" s="10" t="n">
        <v>1</v>
      </c>
      <c r="J18" s="10" t="n">
        <v>1</v>
      </c>
      <c r="K18" s="10" t="n">
        <v>6</v>
      </c>
      <c r="L18" s="10" t="n">
        <v>13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317.4</v>
      </c>
      <c r="C20" s="8" t="n">
        <v>114.2</v>
      </c>
      <c r="D20" s="8" t="n">
        <v>109.1</v>
      </c>
      <c r="E20" s="8" t="n">
        <v>144.9</v>
      </c>
      <c r="F20" s="8" t="n">
        <v>224.1</v>
      </c>
      <c r="G20" s="8" t="n">
        <v>72.40000000000001</v>
      </c>
      <c r="H20" s="8" t="n">
        <v>57</v>
      </c>
      <c r="I20" s="8" t="n">
        <v>136.8</v>
      </c>
      <c r="J20" s="8" t="n">
        <v>50.6</v>
      </c>
      <c r="K20" s="8" t="n">
        <v>187.3</v>
      </c>
      <c r="L20" s="8" t="n">
        <v>299.2</v>
      </c>
      <c r="M20" s="8" t="n">
        <v>68.59999999999999</v>
      </c>
      <c r="N20" s="9">
        <f>SUM(B20:M20)</f>
        <v/>
      </c>
    </row>
    <row r="21">
      <c r="A21" s="7" t="inlineStr">
        <is>
          <t>Max. dnevna suma</t>
        </is>
      </c>
      <c r="B21" s="8" t="n">
        <v>60.3</v>
      </c>
      <c r="C21" s="8" t="n">
        <v>64.5</v>
      </c>
      <c r="D21" s="8" t="n">
        <v>27.4</v>
      </c>
      <c r="E21" s="8" t="n">
        <v>28.4</v>
      </c>
      <c r="F21" s="8" t="n">
        <v>53.7</v>
      </c>
      <c r="G21" s="8" t="n">
        <v>38.4</v>
      </c>
      <c r="H21" s="8" t="n">
        <v>44.3</v>
      </c>
      <c r="I21" s="8" t="n">
        <v>41.5</v>
      </c>
      <c r="J21" s="8" t="n">
        <v>29.2</v>
      </c>
      <c r="K21" s="8" t="n">
        <v>77.5</v>
      </c>
      <c r="L21" s="8" t="n">
        <v>44.6</v>
      </c>
      <c r="M21" s="8" t="n">
        <v>16.5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14</v>
      </c>
      <c r="C22" s="10" t="n">
        <v>10</v>
      </c>
      <c r="D22" s="10" t="n">
        <v>17</v>
      </c>
      <c r="E22" s="10" t="n">
        <v>18</v>
      </c>
      <c r="F22" s="10" t="n">
        <v>22</v>
      </c>
      <c r="G22" s="10" t="n">
        <v>16</v>
      </c>
      <c r="H22" s="10" t="n">
        <v>7</v>
      </c>
      <c r="I22" s="10" t="n">
        <v>13</v>
      </c>
      <c r="J22" s="10" t="n">
        <v>9</v>
      </c>
      <c r="K22" s="10" t="n">
        <v>15</v>
      </c>
      <c r="L22" s="10" t="n">
        <v>22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8</v>
      </c>
      <c r="C23" s="10" t="n">
        <v>3</v>
      </c>
      <c r="D23" s="10" t="n">
        <v>6</v>
      </c>
      <c r="E23" s="10" t="n">
        <v>5</v>
      </c>
      <c r="F23" s="10" t="n">
        <v>7</v>
      </c>
      <c r="G23" s="10" t="n">
        <v>1</v>
      </c>
      <c r="H23" s="10" t="n">
        <v>1</v>
      </c>
      <c r="I23" s="10" t="n">
        <v>5</v>
      </c>
      <c r="J23" s="10" t="n">
        <v>1</v>
      </c>
      <c r="K23" s="10" t="n">
        <v>5</v>
      </c>
      <c r="L23" s="10" t="n">
        <v>13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0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0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2024.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5.7</v>
      </c>
      <c r="C6" s="8" t="n">
        <v>9.199999999999999</v>
      </c>
      <c r="D6" s="8" t="n">
        <v>11.2</v>
      </c>
      <c r="E6" s="8" t="n">
        <v>14.7</v>
      </c>
      <c r="F6" s="8" t="n">
        <v>18</v>
      </c>
      <c r="G6" s="8" t="n">
        <v>23.6</v>
      </c>
      <c r="H6" s="8" t="n">
        <v>27.7</v>
      </c>
      <c r="I6" s="8" t="n">
        <v>28.1</v>
      </c>
      <c r="J6" s="8" t="n">
        <v>20.2</v>
      </c>
      <c r="K6" s="8" t="n">
        <v>16.7</v>
      </c>
      <c r="L6" s="8" t="n">
        <v>9</v>
      </c>
      <c r="M6" s="8" t="n">
        <v>6.3</v>
      </c>
      <c r="N6" s="9">
        <f>AVERAGE(B6:M6)</f>
        <v/>
      </c>
    </row>
    <row r="7">
      <c r="A7" s="7" t="inlineStr">
        <is>
          <t>Srednja maksimalna</t>
        </is>
      </c>
      <c r="B7" s="8" t="n">
        <v>11.3</v>
      </c>
      <c r="C7" s="8" t="n">
        <v>15</v>
      </c>
      <c r="D7" s="8" t="n">
        <v>16.6</v>
      </c>
      <c r="E7" s="8" t="n">
        <v>21.1</v>
      </c>
      <c r="F7" s="8" t="n">
        <v>23.7</v>
      </c>
      <c r="G7" s="8" t="n">
        <v>30</v>
      </c>
      <c r="H7" s="8" t="n">
        <v>34.4</v>
      </c>
      <c r="I7" s="8" t="n">
        <v>35.6</v>
      </c>
      <c r="J7" s="8" t="n">
        <v>25.9</v>
      </c>
      <c r="K7" s="8" t="n">
        <v>22.7</v>
      </c>
      <c r="L7" s="8" t="n">
        <v>15.1</v>
      </c>
      <c r="M7" s="8" t="n">
        <v>11.3</v>
      </c>
      <c r="N7" s="9">
        <f>AVERAGE(B7:M7)</f>
        <v/>
      </c>
    </row>
    <row r="8">
      <c r="A8" s="7" t="inlineStr">
        <is>
          <t>Srednja minimalna</t>
        </is>
      </c>
      <c r="B8" s="8" t="n">
        <v>1.2</v>
      </c>
      <c r="C8" s="8" t="n">
        <v>4.5</v>
      </c>
      <c r="D8" s="8" t="n">
        <v>6.1</v>
      </c>
      <c r="E8" s="8" t="n">
        <v>8.6</v>
      </c>
      <c r="F8" s="8" t="n">
        <v>12.9</v>
      </c>
      <c r="G8" s="8" t="n">
        <v>17.6</v>
      </c>
      <c r="H8" s="8" t="n">
        <v>20.9</v>
      </c>
      <c r="I8" s="8" t="n">
        <v>21.2</v>
      </c>
      <c r="J8" s="8" t="n">
        <v>15.4</v>
      </c>
      <c r="K8" s="8" t="n">
        <v>11.9</v>
      </c>
      <c r="L8" s="8" t="n">
        <v>4.5</v>
      </c>
      <c r="M8" s="8" t="n">
        <v>2.8</v>
      </c>
      <c r="N8" s="9">
        <f>AVERAGE(B8:M8)</f>
        <v/>
      </c>
    </row>
    <row r="9">
      <c r="A9" s="7" t="inlineStr">
        <is>
          <t>Apsolutni maksimum</t>
        </is>
      </c>
      <c r="B9" s="8" t="n">
        <v>17.4</v>
      </c>
      <c r="C9" s="8" t="n">
        <v>20.6</v>
      </c>
      <c r="D9" s="8" t="n">
        <v>21.5</v>
      </c>
      <c r="E9" s="8" t="n">
        <v>27.4</v>
      </c>
      <c r="F9" s="8" t="n">
        <v>27.3</v>
      </c>
      <c r="G9" s="8" t="n">
        <v>37.4</v>
      </c>
      <c r="H9" s="8" t="n">
        <v>38.5</v>
      </c>
      <c r="I9" s="8" t="n">
        <v>39.1</v>
      </c>
      <c r="J9" s="8" t="n">
        <v>35.9</v>
      </c>
      <c r="K9" s="8" t="n">
        <v>25.2</v>
      </c>
      <c r="L9" s="8" t="n">
        <v>21</v>
      </c>
      <c r="M9" s="8" t="n">
        <v>14</v>
      </c>
      <c r="N9" s="9">
        <f>MAX(B9:M9)</f>
        <v/>
      </c>
    </row>
    <row r="10">
      <c r="A10" s="7" t="inlineStr">
        <is>
          <t>Apsolutni minimum</t>
        </is>
      </c>
      <c r="B10" s="8" t="n">
        <v>-4.4</v>
      </c>
      <c r="C10" s="8" t="n">
        <v>-4</v>
      </c>
      <c r="D10" s="8" t="n">
        <v>2.1</v>
      </c>
      <c r="E10" s="8" t="n">
        <v>4.4</v>
      </c>
      <c r="F10" s="8" t="n">
        <v>9.199999999999999</v>
      </c>
      <c r="G10" s="8" t="n">
        <v>13.3</v>
      </c>
      <c r="H10" s="8" t="n">
        <v>15</v>
      </c>
      <c r="I10" s="8" t="n">
        <v>18.3</v>
      </c>
      <c r="J10" s="8" t="n">
        <v>8.699999999999999</v>
      </c>
      <c r="K10" s="8" t="n">
        <v>6.9</v>
      </c>
      <c r="L10" s="8" t="n">
        <v>-1.6</v>
      </c>
      <c r="M10" s="8" t="n">
        <v>-2.6</v>
      </c>
      <c r="N10" s="9">
        <f>MIN(B10:M10)</f>
        <v/>
      </c>
    </row>
    <row r="11">
      <c r="A11" s="7" t="inlineStr">
        <is>
          <t>Sr. br. mraznih dana</t>
        </is>
      </c>
      <c r="B11" s="10" t="n">
        <v>16</v>
      </c>
      <c r="C11" s="10" t="n">
        <v>2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15</v>
      </c>
      <c r="H12" s="10" t="n">
        <v>28</v>
      </c>
      <c r="I12" s="10" t="n">
        <v>31</v>
      </c>
      <c r="J12" s="10" t="n">
        <v>7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74.59999999999999</v>
      </c>
      <c r="C14" s="8" t="n">
        <v>76.8</v>
      </c>
      <c r="D14" s="8" t="n">
        <v>75.5</v>
      </c>
      <c r="E14" s="8" t="n">
        <v>67.59999999999999</v>
      </c>
      <c r="F14" s="8" t="n">
        <v>74.40000000000001</v>
      </c>
      <c r="G14" s="8" t="n">
        <v>68.40000000000001</v>
      </c>
      <c r="H14" s="8" t="n">
        <v>53.4</v>
      </c>
      <c r="I14" s="8" t="n">
        <v>48.4</v>
      </c>
      <c r="J14" s="8" t="n">
        <v>67.8</v>
      </c>
      <c r="K14" s="8" t="n">
        <v>78.7</v>
      </c>
      <c r="L14" s="8" t="n">
        <v>73.2</v>
      </c>
      <c r="M14" s="8" t="n">
        <v>76.90000000000001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199.4</v>
      </c>
      <c r="C16" s="8" t="n">
        <v>223.8</v>
      </c>
      <c r="D16" s="8" t="n">
        <v>268</v>
      </c>
      <c r="E16" s="8" t="n">
        <v>344.6</v>
      </c>
      <c r="F16" s="8" t="n">
        <v>353.5</v>
      </c>
      <c r="G16" s="8" t="n">
        <v>401.9</v>
      </c>
      <c r="H16" s="8" t="n">
        <v>423.8</v>
      </c>
      <c r="I16" s="8" t="n">
        <v>399.1</v>
      </c>
      <c r="J16" s="8" t="n">
        <v>295.1</v>
      </c>
      <c r="K16" s="8" t="n">
        <v>292.3</v>
      </c>
      <c r="L16" s="8" t="n">
        <v>234.8</v>
      </c>
      <c r="M16" s="8" t="n">
        <v>184.8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3</v>
      </c>
      <c r="D17" s="10" t="n">
        <v>2</v>
      </c>
      <c r="E17" s="10" t="n">
        <v>6</v>
      </c>
      <c r="F17" s="10" t="n">
        <v>3</v>
      </c>
      <c r="G17" s="10" t="n">
        <v>14</v>
      </c>
      <c r="H17" s="10" t="n">
        <v>21</v>
      </c>
      <c r="I17" s="10" t="n">
        <v>16</v>
      </c>
      <c r="J17" s="10" t="n">
        <v>7</v>
      </c>
      <c r="K17" s="10" t="n">
        <v>6</v>
      </c>
      <c r="L17" s="10" t="n">
        <v>10</v>
      </c>
      <c r="M17" s="10" t="n">
        <v>8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11</v>
      </c>
      <c r="D18" s="10" t="n">
        <v>12</v>
      </c>
      <c r="E18" s="10" t="n">
        <v>4</v>
      </c>
      <c r="F18" s="10" t="n">
        <v>8</v>
      </c>
      <c r="G18" s="10" t="n">
        <v>1</v>
      </c>
      <c r="H18" s="10" t="n">
        <v>1</v>
      </c>
      <c r="I18" s="10" t="n">
        <v>2</v>
      </c>
      <c r="J18" s="10" t="n">
        <v>6</v>
      </c>
      <c r="K18" s="10" t="n">
        <v>4</v>
      </c>
      <c r="L18" s="10" t="n">
        <v>6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99</v>
      </c>
      <c r="C20" s="8" t="n">
        <v>126.4</v>
      </c>
      <c r="D20" s="8" t="n">
        <v>166</v>
      </c>
      <c r="E20" s="8" t="n">
        <v>45</v>
      </c>
      <c r="F20" s="8" t="n">
        <v>172.4</v>
      </c>
      <c r="G20" s="8" t="n">
        <v>116.8</v>
      </c>
      <c r="H20" s="8" t="n">
        <v>35.6</v>
      </c>
      <c r="I20" s="8" t="n">
        <v>35.1</v>
      </c>
      <c r="J20" s="8" t="n">
        <v>170</v>
      </c>
      <c r="K20" s="8" t="n">
        <v>128.1</v>
      </c>
      <c r="L20" s="8" t="n">
        <v>81.90000000000001</v>
      </c>
      <c r="M20" s="8" t="n">
        <v>113.2</v>
      </c>
      <c r="N20" s="9">
        <f>SUM(B20:M20)</f>
        <v/>
      </c>
    </row>
    <row r="21">
      <c r="A21" s="7" t="inlineStr">
        <is>
          <t>Max. dnevna suma</t>
        </is>
      </c>
      <c r="B21" s="8" t="n">
        <v>22.5</v>
      </c>
      <c r="C21" s="8" t="n">
        <v>34.4</v>
      </c>
      <c r="D21" s="8" t="n">
        <v>61.4</v>
      </c>
      <c r="E21" s="8" t="n">
        <v>9.1</v>
      </c>
      <c r="F21" s="8" t="n">
        <v>47</v>
      </c>
      <c r="G21" s="8" t="n">
        <v>23.2</v>
      </c>
      <c r="H21" s="8" t="n">
        <v>33.7</v>
      </c>
      <c r="I21" s="8" t="n">
        <v>21.2</v>
      </c>
      <c r="J21" s="8" t="n">
        <v>49.9</v>
      </c>
      <c r="K21" s="8" t="n">
        <v>44.3</v>
      </c>
      <c r="L21" s="8" t="n">
        <v>22</v>
      </c>
      <c r="M21" s="8" t="n">
        <v>29.3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14</v>
      </c>
      <c r="D22" s="10" t="n">
        <v>21</v>
      </c>
      <c r="E22" s="10" t="n">
        <v>11</v>
      </c>
      <c r="F22" s="10" t="n">
        <v>22</v>
      </c>
      <c r="G22" s="10" t="n">
        <v>14</v>
      </c>
      <c r="H22" s="10" t="n">
        <v>4</v>
      </c>
      <c r="I22" s="10" t="n">
        <v>7</v>
      </c>
      <c r="J22" s="10" t="n">
        <v>20</v>
      </c>
      <c r="K22" s="10" t="n">
        <v>10</v>
      </c>
      <c r="L22" s="10" t="n">
        <v>10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4</v>
      </c>
      <c r="D23" s="10" t="n">
        <v>6</v>
      </c>
      <c r="E23" s="10" t="n">
        <v>0</v>
      </c>
      <c r="F23" s="10" t="n">
        <v>6</v>
      </c>
      <c r="G23" s="10" t="n">
        <v>5</v>
      </c>
      <c r="H23" s="10" t="n">
        <v>1</v>
      </c>
      <c r="I23" s="10" t="n">
        <v>1</v>
      </c>
      <c r="J23" s="10" t="n">
        <v>6</v>
      </c>
      <c r="K23" s="10" t="n">
        <v>4</v>
      </c>
      <c r="L23" s="10" t="n">
        <v>4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2025. GODINU</t>
        </is>
      </c>
    </row>
    <row r="2">
      <c r="A2" s="2" t="inlineStr">
        <is>
          <t>CMILJEVAC II, CRVENA LOKVA, 1295M  φ 43.11°N  λ 17.67°E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7.3</v>
      </c>
      <c r="C6" s="8" t="n">
        <v>6.7</v>
      </c>
      <c r="D6" s="8" t="n">
        <v>10.7</v>
      </c>
      <c r="E6" s="8" t="n">
        <v>13.6</v>
      </c>
      <c r="F6" s="8" t="n">
        <v>16.6</v>
      </c>
      <c r="G6" s="8" t="n">
        <v>25.4</v>
      </c>
      <c r="H6" s="8" t="n">
        <v>26.2</v>
      </c>
      <c r="I6" s="8" t="n">
        <v>25.1</v>
      </c>
      <c r="J6" s="8" t="n">
        <v>20.6</v>
      </c>
      <c r="K6" s="8" t="n">
        <v>13.7</v>
      </c>
      <c r="L6" s="8" t="n">
        <v>10</v>
      </c>
      <c r="M6" s="8" t="n">
        <v>6.1</v>
      </c>
      <c r="N6" s="9">
        <f>AVERAGE(B6:M6)</f>
        <v/>
      </c>
    </row>
    <row r="7">
      <c r="A7" s="7" t="inlineStr">
        <is>
          <t>Srednja maksimalna</t>
        </is>
      </c>
      <c r="B7" s="8" t="n">
        <v>12.1</v>
      </c>
      <c r="C7" s="8" t="n">
        <v>12.2</v>
      </c>
      <c r="D7" s="8" t="n">
        <v>16.1</v>
      </c>
      <c r="E7" s="8" t="n">
        <v>19.3</v>
      </c>
      <c r="F7" s="8" t="n">
        <v>22.2</v>
      </c>
      <c r="G7" s="8" t="n">
        <v>32.7</v>
      </c>
      <c r="H7" s="8" t="n">
        <v>32.7</v>
      </c>
      <c r="I7" s="8" t="n">
        <v>31.9</v>
      </c>
      <c r="J7" s="8" t="n">
        <v>27</v>
      </c>
      <c r="K7" s="8" t="n">
        <v>18.9</v>
      </c>
      <c r="L7" s="8" t="n">
        <v>14.8</v>
      </c>
      <c r="M7" s="8" t="n">
        <v>12.4</v>
      </c>
      <c r="N7" s="9">
        <f>AVERAGE(B7:M7)</f>
        <v/>
      </c>
    </row>
    <row r="8">
      <c r="A8" s="7" t="inlineStr">
        <is>
          <t>Srednja minimalna</t>
        </is>
      </c>
      <c r="B8" s="8" t="n">
        <v>3.7</v>
      </c>
      <c r="C8" s="8" t="n">
        <v>2.5</v>
      </c>
      <c r="D8" s="8" t="n">
        <v>6.2</v>
      </c>
      <c r="E8" s="8" t="n">
        <v>8.6</v>
      </c>
      <c r="F8" s="8" t="n">
        <v>11.3</v>
      </c>
      <c r="G8" s="8" t="n">
        <v>17.7</v>
      </c>
      <c r="H8" s="8" t="n">
        <v>19.5</v>
      </c>
      <c r="I8" s="8" t="n">
        <v>18.6</v>
      </c>
      <c r="J8" s="8" t="n">
        <v>15.5</v>
      </c>
      <c r="K8" s="8" t="n">
        <v>9.5</v>
      </c>
      <c r="L8" s="8" t="n">
        <v>6.3</v>
      </c>
      <c r="M8" s="8" t="n">
        <v>2.3</v>
      </c>
      <c r="N8" s="9">
        <f>AVERAGE(B8:M8)</f>
        <v/>
      </c>
    </row>
    <row r="9">
      <c r="A9" s="7" t="inlineStr">
        <is>
          <t>Apsolutni maksimum</t>
        </is>
      </c>
      <c r="B9" s="8" t="n">
        <v>16.1</v>
      </c>
      <c r="C9" s="8" t="n">
        <v>15.3</v>
      </c>
      <c r="D9" s="8" t="n">
        <v>20</v>
      </c>
      <c r="E9" s="8" t="n">
        <v>25.9</v>
      </c>
      <c r="F9" s="8" t="n">
        <v>27.7</v>
      </c>
      <c r="G9" s="8" t="n">
        <v>38.2</v>
      </c>
      <c r="H9" s="8" t="n">
        <v>38.4</v>
      </c>
      <c r="I9" s="8" t="n">
        <v>39.5</v>
      </c>
      <c r="J9" s="8" t="n">
        <v>31</v>
      </c>
      <c r="K9" s="8" t="n">
        <v>23.1</v>
      </c>
      <c r="L9" s="8" t="n">
        <v>21.4</v>
      </c>
      <c r="M9" s="8" t="n">
        <v>15.4</v>
      </c>
      <c r="N9" s="9">
        <f>MAX(B9:M9)</f>
        <v/>
      </c>
    </row>
    <row r="10">
      <c r="A10" s="7" t="inlineStr">
        <is>
          <t>Apsolutni minimum</t>
        </is>
      </c>
      <c r="B10" s="8" t="n">
        <v>-2.1</v>
      </c>
      <c r="C10" s="8" t="n">
        <v>-3.7</v>
      </c>
      <c r="D10" s="8" t="n">
        <v>-2</v>
      </c>
      <c r="E10" s="8" t="n">
        <v>0.8</v>
      </c>
      <c r="F10" s="8" t="n">
        <v>7.8</v>
      </c>
      <c r="G10" s="8" t="n">
        <v>13.1</v>
      </c>
      <c r="H10" s="8" t="n">
        <v>13.4</v>
      </c>
      <c r="I10" s="8" t="n">
        <v>14</v>
      </c>
      <c r="J10" s="8" t="n">
        <v>9.1</v>
      </c>
      <c r="K10" s="8" t="n">
        <v>5.7</v>
      </c>
      <c r="L10" s="8" t="n">
        <v>1.4</v>
      </c>
      <c r="M10" s="8" t="n">
        <v>-3.7</v>
      </c>
      <c r="N10" s="9">
        <f>MIN(B10:M10)</f>
        <v/>
      </c>
    </row>
    <row r="11">
      <c r="A11" s="7" t="inlineStr">
        <is>
          <t>Sr. br. mraznih dana</t>
        </is>
      </c>
      <c r="B11" s="10" t="n">
        <v>6</v>
      </c>
      <c r="C11" s="10" t="n">
        <v>8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25</v>
      </c>
      <c r="H12" s="10" t="n">
        <v>21</v>
      </c>
      <c r="I12" s="10" t="n">
        <v>21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78.7</v>
      </c>
      <c r="C14" s="8" t="n">
        <v>75.09999999999999</v>
      </c>
      <c r="D14" s="8" t="n">
        <v>75.3</v>
      </c>
      <c r="E14" s="8" t="n">
        <v>70.5</v>
      </c>
      <c r="F14" s="8" t="n">
        <v>70.59999999999999</v>
      </c>
      <c r="G14" s="8" t="n">
        <v>51</v>
      </c>
      <c r="H14" s="8" t="n">
        <v>50.1</v>
      </c>
      <c r="I14" s="8" t="n">
        <v>55.8</v>
      </c>
      <c r="J14" s="8" t="n">
        <v>73.2</v>
      </c>
      <c r="K14" s="8" t="n">
        <v>73.40000000000001</v>
      </c>
      <c r="L14" s="8" t="n">
        <v>82.09999999999999</v>
      </c>
      <c r="M14" s="8" t="n">
        <v>78.59999999999999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172.3</v>
      </c>
      <c r="C16" s="8" t="n">
        <v>188</v>
      </c>
      <c r="D16" s="8" t="n">
        <v>228.9</v>
      </c>
      <c r="E16" s="8" t="n">
        <v>308.3</v>
      </c>
      <c r="F16" s="8" t="n">
        <v>382.1</v>
      </c>
      <c r="G16" s="8" t="n">
        <v>425.9</v>
      </c>
      <c r="H16" s="8" t="n">
        <v>410.2</v>
      </c>
      <c r="I16" s="8" t="n">
        <v>390.8</v>
      </c>
      <c r="J16" s="8" t="n">
        <v>315.3</v>
      </c>
      <c r="K16" s="8" t="n">
        <v>258.1</v>
      </c>
      <c r="L16" s="8" t="n">
        <v>176.4</v>
      </c>
      <c r="M16" s="8" t="n">
        <v>215.5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8</v>
      </c>
      <c r="D17" s="10" t="n">
        <v>9</v>
      </c>
      <c r="E17" s="10" t="n">
        <v>4</v>
      </c>
      <c r="F17" s="10" t="n">
        <v>7</v>
      </c>
      <c r="G17" s="10" t="n">
        <v>26</v>
      </c>
      <c r="H17" s="10" t="n">
        <v>20</v>
      </c>
      <c r="I17" s="10" t="n">
        <v>13</v>
      </c>
      <c r="J17" s="10" t="n">
        <v>15</v>
      </c>
      <c r="K17" s="10" t="n">
        <v>3</v>
      </c>
      <c r="L17" s="10" t="n">
        <v>9</v>
      </c>
      <c r="M17" s="10" t="n">
        <v>9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10</v>
      </c>
      <c r="D18" s="10" t="n">
        <v>15</v>
      </c>
      <c r="E18" s="10" t="n">
        <v>7</v>
      </c>
      <c r="F18" s="10" t="n">
        <v>5</v>
      </c>
      <c r="G18" s="10" t="n">
        <v>0</v>
      </c>
      <c r="H18" s="10" t="n">
        <v>1</v>
      </c>
      <c r="I18" s="10" t="n">
        <v>1</v>
      </c>
      <c r="J18" s="10" t="n">
        <v>3</v>
      </c>
      <c r="K18" s="10" t="n">
        <v>9</v>
      </c>
      <c r="L18" s="10" t="n">
        <v>12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74.59999999999999</v>
      </c>
      <c r="C20" s="8" t="n">
        <v>78.3</v>
      </c>
      <c r="D20" s="8" t="n">
        <v>402.5</v>
      </c>
      <c r="E20" s="8" t="n">
        <v>109.6</v>
      </c>
      <c r="F20" s="8" t="n">
        <v>121</v>
      </c>
      <c r="G20" s="8" t="n">
        <v>1.3</v>
      </c>
      <c r="H20" s="8" t="n">
        <v>98.8</v>
      </c>
      <c r="I20" s="8" t="n">
        <v>120.7</v>
      </c>
      <c r="J20" s="8" t="n">
        <v>160.5</v>
      </c>
      <c r="K20" s="8" t="n">
        <v>93.3</v>
      </c>
      <c r="L20" s="8" t="n">
        <v>251.9</v>
      </c>
      <c r="M20" s="8" t="n">
        <v>65.3</v>
      </c>
      <c r="N20" s="9">
        <f>SUM(B20:M20)</f>
        <v/>
      </c>
    </row>
    <row r="21">
      <c r="A21" s="7" t="inlineStr">
        <is>
          <t>Max. dnevna suma</t>
        </is>
      </c>
      <c r="B21" s="8" t="n">
        <v>19.8</v>
      </c>
      <c r="C21" s="8" t="n">
        <v>19.7</v>
      </c>
      <c r="D21" s="8" t="n">
        <v>58.8</v>
      </c>
      <c r="E21" s="8" t="n">
        <v>20.7</v>
      </c>
      <c r="F21" s="8" t="n">
        <v>34</v>
      </c>
      <c r="G21" s="8" t="n">
        <v>0.6</v>
      </c>
      <c r="H21" s="8" t="n">
        <v>41.2</v>
      </c>
      <c r="I21" s="8" t="n">
        <v>50.5</v>
      </c>
      <c r="J21" s="8" t="n">
        <v>57.4</v>
      </c>
      <c r="K21" s="8" t="n">
        <v>19.6</v>
      </c>
      <c r="L21" s="8" t="n">
        <v>38.2</v>
      </c>
      <c r="M21" s="8" t="n">
        <v>19.4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13</v>
      </c>
      <c r="D22" s="10" t="n">
        <v>18</v>
      </c>
      <c r="E22" s="10" t="n">
        <v>14</v>
      </c>
      <c r="F22" s="10" t="n">
        <v>17</v>
      </c>
      <c r="G22" s="10" t="n">
        <v>3</v>
      </c>
      <c r="H22" s="10" t="n">
        <v>7</v>
      </c>
      <c r="I22" s="10" t="n">
        <v>10</v>
      </c>
      <c r="J22" s="10" t="n">
        <v>10</v>
      </c>
      <c r="K22" s="10" t="n">
        <v>13</v>
      </c>
      <c r="L22" s="10" t="n">
        <v>16</v>
      </c>
      <c r="M22" s="10" t="n">
        <v>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3</v>
      </c>
      <c r="D23" s="10" t="n">
        <v>13</v>
      </c>
      <c r="E23" s="10" t="n">
        <v>5</v>
      </c>
      <c r="F23" s="10" t="n">
        <v>4</v>
      </c>
      <c r="G23" s="10" t="n">
        <v>0</v>
      </c>
      <c r="H23" s="10" t="n">
        <v>3</v>
      </c>
      <c r="I23" s="10" t="n">
        <v>2</v>
      </c>
      <c r="J23" s="10" t="n">
        <v>4</v>
      </c>
      <c r="K23" s="10" t="n">
        <v>4</v>
      </c>
      <c r="L23" s="10" t="n">
        <v>12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3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3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2026-08-22T16:09:26Z</dcterms:created>
  <dcterms:modified xmlns:dcterms="http://purl.org/dc/terms/" xmlns:xsi="http://www.w3.org/2001/XMLSchema-instance" xsi:type="dcterms:W3CDTF">2026-08-22T16:09:26Z</dcterms:modified>
</cp:coreProperties>
</file>